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rodrigoalmeidadeoliveira/Library/CloudStorage/GoogleDrive-rodrigoalmeidadeoliveira@gmail.com/Outros computadores/Notebook/Python/Projetos/SLR-Agente/docs/"/>
    </mc:Choice>
  </mc:AlternateContent>
  <xr:revisionPtr revIDLastSave="0" documentId="8_{692056C5-642D-E342-AEFD-CCAC913BCC50}" xr6:coauthVersionLast="47" xr6:coauthVersionMax="47" xr10:uidLastSave="{00000000-0000-0000-0000-000000000000}"/>
  <bookViews>
    <workbookView xWindow="0" yWindow="600" windowWidth="33200" windowHeight="15760" tabRatio="500" xr2:uid="{00000000-000D-0000-FFFF-FFFF00000000}"/>
  </bookViews>
  <sheets>
    <sheet name="Master Consolidation" sheetId="1" r:id="rId1"/>
    <sheet name="Pillar Distribution" sheetId="2" r:id="rId2"/>
    <sheet name="SPMF Level Distribution" sheetId="3" r:id="rId3"/>
    <sheet name="QA Summary" sheetId="4" r:id="rId4"/>
    <sheet name="Duplicate Audit" sheetId="5" r:id="rId5"/>
    <sheet name="README"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3" l="1"/>
  <c r="B8" i="3"/>
  <c r="D10" i="2"/>
  <c r="C10" i="2"/>
  <c r="B10" i="2"/>
  <c r="P31" i="1"/>
  <c r="Q31" i="1" s="1"/>
  <c r="P30" i="1"/>
  <c r="Q30" i="1" s="1"/>
  <c r="P29" i="1"/>
  <c r="Q29" i="1" s="1"/>
  <c r="P28" i="1"/>
  <c r="Q28" i="1" s="1"/>
  <c r="P27" i="1"/>
  <c r="Q27" i="1" s="1"/>
  <c r="P26" i="1"/>
  <c r="Q26" i="1" s="1"/>
  <c r="P25" i="1"/>
  <c r="Q25" i="1" s="1"/>
  <c r="P24" i="1"/>
  <c r="Q24" i="1" s="1"/>
  <c r="P23" i="1"/>
  <c r="Q23" i="1" s="1"/>
  <c r="P22" i="1"/>
  <c r="Q22" i="1" s="1"/>
  <c r="P21" i="1"/>
  <c r="Q21" i="1" s="1"/>
  <c r="P20" i="1"/>
  <c r="Q20" i="1" s="1"/>
  <c r="P19" i="1"/>
  <c r="Q19" i="1" s="1"/>
  <c r="P18" i="1"/>
  <c r="Q18" i="1" s="1"/>
  <c r="P17" i="1"/>
  <c r="Q17" i="1" s="1"/>
  <c r="P16" i="1"/>
  <c r="Q16" i="1" s="1"/>
  <c r="P15" i="1"/>
  <c r="Q15" i="1" s="1"/>
  <c r="P14" i="1"/>
  <c r="Q14" i="1" s="1"/>
  <c r="P13" i="1"/>
  <c r="Q13" i="1" s="1"/>
  <c r="P12" i="1"/>
  <c r="Q12" i="1" s="1"/>
  <c r="P11" i="1"/>
  <c r="Q11" i="1" s="1"/>
  <c r="P10" i="1"/>
  <c r="Q10" i="1" s="1"/>
  <c r="P9" i="1"/>
  <c r="Q9" i="1" s="1"/>
  <c r="P8" i="1"/>
  <c r="Q8" i="1" s="1"/>
  <c r="P7" i="1"/>
  <c r="Q7" i="1" s="1"/>
  <c r="P6" i="1"/>
  <c r="Q6" i="1" s="1"/>
  <c r="P5" i="1"/>
  <c r="Q5" i="1" s="1"/>
  <c r="P4" i="1"/>
  <c r="Q4" i="1" s="1"/>
  <c r="P3" i="1"/>
  <c r="Q3" i="1" s="1"/>
  <c r="P2" i="1"/>
  <c r="Q2" i="1" s="1"/>
</calcChain>
</file>

<file path=xl/sharedStrings.xml><?xml version="1.0" encoding="utf-8"?>
<sst xmlns="http://schemas.openxmlformats.org/spreadsheetml/2006/main" count="423" uniqueCount="251">
  <si>
    <t>ID</t>
  </si>
  <si>
    <t>Short Citation</t>
  </si>
  <si>
    <t>Year</t>
  </si>
  <si>
    <t>Venue Type</t>
  </si>
  <si>
    <t>Primary Pillar</t>
  </si>
  <si>
    <t>Secondary Pillar</t>
  </si>
  <si>
    <t>SPMF Level</t>
  </si>
  <si>
    <t>QA1</t>
  </si>
  <si>
    <t>QA2</t>
  </si>
  <si>
    <t>QA3</t>
  </si>
  <si>
    <t>QA4</t>
  </si>
  <si>
    <t>QA5</t>
  </si>
  <si>
    <t>QA6</t>
  </si>
  <si>
    <t>QA7</t>
  </si>
  <si>
    <t>QA8</t>
  </si>
  <si>
    <t>QA Total (/8)</t>
  </si>
  <si>
    <t>QA Threshold (≥4)</t>
  </si>
  <si>
    <t>Analytical Status</t>
  </si>
  <si>
    <t>Contribution Type</t>
  </si>
  <si>
    <t>IC Match</t>
  </si>
  <si>
    <t>Lot</t>
  </si>
  <si>
    <t>Analytical Role in Chapter 3</t>
  </si>
  <si>
    <t>Rubin et al. (2007)</t>
  </si>
  <si>
    <t>Report/Conference</t>
  </si>
  <si>
    <t>P1</t>
  </si>
  <si>
    <t>P2</t>
  </si>
  <si>
    <t>L1</t>
  </si>
  <si>
    <t>Retained</t>
  </si>
  <si>
    <t>Framework / foundational PM</t>
  </si>
  <si>
    <t>IC4a, IC4d</t>
  </si>
  <si>
    <t>Foundational citation for repository-based event extraction and software process discovery. First explicit software process mining framework integrating ProM with CVS/Subversion via ProMImport. Validated on ArgoUML (5 subprojects, ~400 commits). Stops at descriptive level; motivates PATHCAST's advance to stochastic forecasting.</t>
  </si>
  <si>
    <t>Ortu et al. (2022)</t>
  </si>
  <si>
    <t>Journal</t>
  </si>
  <si>
    <t>P3</t>
  </si>
  <si>
    <t>P1+P5</t>
  </si>
  <si>
    <t>L2</t>
  </si>
  <si>
    <t>Behavioral stochastic modeling / multi-method</t>
  </si>
  <si>
    <t>IC4a, IC4b, IC4c, IC4d</t>
  </si>
  <si>
    <t>Strongest empirical evidence for combined stochastic modeling in software. 12 Apache projects analyzed with Petri nets, Markov chains and Hawkes processes. Confirms SDLC logs support state-transition modeling. Limitation central to PATHCAST: state space defined a priori, not mined from process discovery.</t>
  </si>
  <si>
    <t>Cook &amp; Wolf (1995)</t>
  </si>
  <si>
    <t>Conference (ICSE)</t>
  </si>
  <si>
    <t>Retained (seminal)</t>
  </si>
  <si>
    <t>Process discovery foundation / algorithmic</t>
  </si>
  <si>
    <t>IC4a, IC4b, IC4d</t>
  </si>
  <si>
    <t>Seminal work that founded automated process discovery from event data. Introduces KTAIL, MARKOV and RNET methods. MARKOV method is the direct conceptual precursor of Markov-based process mining.</t>
  </si>
  <si>
    <t>Ar Razi et al. (2019)</t>
  </si>
  <si>
    <t>Conference (iSemantic)</t>
  </si>
  <si>
    <t>-</t>
  </si>
  <si>
    <t>L0</t>
  </si>
  <si>
    <t>Excluded (QA&lt;4)</t>
  </si>
  <si>
    <t>Bottleneck detection / proof of concept</t>
  </si>
  <si>
    <t>IC4a</t>
  </si>
  <si>
    <t>Apply Alpha algorithm and Petri net performance analysis for bottleneck detection in Agile SDLC. Data simulated via ProcessMaker, not real repositories. Excluded by QA; retained for breadth only.</t>
  </si>
  <si>
    <t>Li et al. (2020)</t>
  </si>
  <si>
    <t>Conference (ICSSP)</t>
  </si>
  <si>
    <t>P4</t>
  </si>
  <si>
    <t>P1+P3</t>
  </si>
  <si>
    <t>Hybrid SD+DES simulation / industrial exemplar</t>
  </si>
  <si>
    <t>IC4b, IC4c, IC4d</t>
  </si>
  <si>
    <t>Hybrid SD+DES model for release date prediction at a global ICT enterprise. RE=7.69% for detected defects. Identifies data availability, quality and variable calibration as practical modeling challenges. Structure defined by interviews, not by process mining. PATHCAST closes exactly this gap.</t>
  </si>
  <si>
    <t>Studying Task Processes (2019)</t>
  </si>
  <si>
    <t>Journal/Conference</t>
  </si>
  <si>
    <t>Task-process analytics / productivity</t>
  </si>
  <si>
    <t>Demonstrates that developer activity at task level leaves observable patterns with predictive value. Supports Stage 1 premise that fine-grained traces are sufficient for process inference.</t>
  </si>
  <si>
    <t>DevOps SPN (Non-Markovian) (2022)</t>
  </si>
  <si>
    <t>Non-Markovian stochastic Petri nets / verification + prediction</t>
  </si>
  <si>
    <t>Non-Markovian SPN for DevOps workflow verification and duration prediction. Strong antecedent for process-aware forecasting. Model parameterized from a priori formal specification, not from mined event logs.</t>
  </si>
  <si>
    <t>Intelligent Method for RE (2021)</t>
  </si>
  <si>
    <t>P5</t>
  </si>
  <si>
    <t>Requirements-focused intelligent method</t>
  </si>
  <si>
    <t>IC4a (weak)</t>
  </si>
  <si>
    <t>Peripheral to PATHCAST's core. Excluded by QA; lateral reference only.</t>
  </si>
  <si>
    <t>Agile Risk Simulation (2020)</t>
  </si>
  <si>
    <t>Event+agent-based simulation / Jira-driven risk</t>
  </si>
  <si>
    <t>Constructs risk simulator from Jira data. Models issues, activities, team members and events; estimates duration distribution, cost and probability of completing X% of work by deadline. Does not discover process structure via PM — gap addressed by PATHCAST.</t>
  </si>
  <si>
    <t>Bhadra (2022) SPN for CI/CD</t>
  </si>
  <si>
    <t>Conference (ISSREW)</t>
  </si>
  <si>
    <t>Stochastic Petri nets / CI/CD probability of on-time delivery</t>
  </si>
  <si>
    <t>IC4b, IC4c</t>
  </si>
  <si>
    <t>SPN model for CI/CD probability of delivering features by deadline. Sensitivity analysis identifies critical stages. Restricted to CI/CD sub-process; does not cover end-to-end SDLC.</t>
  </si>
  <si>
    <t>Jo, Kwon &amp; Kwon (2023) GitHub DTMC</t>
  </si>
  <si>
    <t>Discrete-Time Markov Chain + model checking</t>
  </si>
  <si>
    <t>IC4b, IC4d</t>
  </si>
  <si>
    <t>L3</t>
  </si>
  <si>
    <t>Direct precursor for PATHCAST's Stage 3. Models GitHub activity as DTMC with states combining participant, branch and action. 30 repositories, 173 participants, &gt;11,800 activity logs. Stops at diagnostic analysis.</t>
  </si>
  <si>
    <t>Jo, Kwon &amp; Kwon (2024) PMC Repositories</t>
  </si>
  <si>
    <t>DTMC + pCTL / model checking</t>
  </si>
  <si>
    <t>Extension of the 2023 study. Five repositories analyzed through three dimensions: repository characteristics, branch management, participant analysis. Emphasizes transparency/explainability vs. black-box prediction.</t>
  </si>
  <si>
    <t>Bhadra et al. (2023) SPN CI/CD [RAMS]</t>
  </si>
  <si>
    <t>Conference (RAMS)</t>
  </si>
  <si>
    <t>Retained (related to #10)</t>
  </si>
  <si>
    <t>Stochastic Petri nets / CI/CD on-time delivery (extended)</t>
  </si>
  <si>
    <t>Extended version of Bhadra (2022). Retained as distinct publication; treat as reinforcement of the CI/CD SPN line, not as independent evidence.</t>
  </si>
  <si>
    <t>Comparative RL for PR Outcomes (2023)</t>
  </si>
  <si>
    <t>Reinforcement Learning / MDP formulation</t>
  </si>
  <si>
    <t>IC4b (weak), IC4c</t>
  </si>
  <si>
    <t>Formulates PR outcome prediction as MDP. Best G-mean 0.82664/0.88372 on 66,281 PRs and 588,097 review comments. Supports ML enhancement layer. Does not address lead-time forecasting.</t>
  </si>
  <si>
    <t>Buliga et al. (2025) WISDOM</t>
  </si>
  <si>
    <t>Conference (ICPM)</t>
  </si>
  <si>
    <t>Hybrid generative models + business process simulation</t>
  </si>
  <si>
    <t>Most recent conceptually sophisticated antecedent. Demonstrates that process-aware prospective analysis must preserve systemic dependencies. Reinforces PATHCAST's claim that Monte Carlo parameterized by mined process structure outperforms black-box throughput sampling.</t>
  </si>
  <si>
    <t>Stochastic Conformance via VLMC (2024)</t>
  </si>
  <si>
    <t>Journal (IS)</t>
  </si>
  <si>
    <t>Retained (highest QA)</t>
  </si>
  <si>
    <t>Variable-length Markov Chains / stochastic conformance checking</t>
  </si>
  <si>
    <t>IC4a, IC4b</t>
  </si>
  <si>
    <t>L4</t>
  </si>
  <si>
    <t>Strongest methodological anchor (8/8). VLMC + uEMSC outperforms 18 competing techniques on 10 of 11 datasets. Validates that memory-dependent Markov models capture real process behavior more faithfully. Directly supports PATHCAST's choice of Markov modeling with sojourn distributions.</t>
  </si>
  <si>
    <t>PRIMAD Digital Twin (2025)</t>
  </si>
  <si>
    <t>Conference</t>
  </si>
  <si>
    <t>Integrative</t>
  </si>
  <si>
    <t>P1-P5</t>
  </si>
  <si>
    <t>Process mining + actors + simulation + ML / digital twin</t>
  </si>
  <si>
    <t>Closest architectural antecedent to PATHCAST. Combines process mining, Akka actors, Python simulation and supervised ML for SDLC digital twin. Critical distinction: validation is component-wise, not pipeline-wise.</t>
  </si>
  <si>
    <t>Caldeira et al. (2022) Constraint Mining</t>
  </si>
  <si>
    <t>Constraint mining / temporal, data and hybrid rules</t>
  </si>
  <si>
    <t>Explicitly distinguishes official, perceived and actual process. Mines constraints from Jira histories across 4 projects. Supports PATHCAST's premise that forecasting must be grounded in the real process.</t>
  </si>
  <si>
    <t>Structured Stochastic Model (Waterfall, 2015)</t>
  </si>
  <si>
    <t>Structured stochastic estimation / waterfall</t>
  </si>
  <si>
    <t>Context limited to waterfall; empirical grounding weak. Excluded by QA; retained only as conceptual footnote.</t>
  </si>
  <si>
    <t>SIMPT (2022)</t>
  </si>
  <si>
    <t>Interactive simulation / time-aware process trees / what-if</t>
  </si>
  <si>
    <t>Bridges diagnosis and intervention via interactive simulation of time-aware process trees. Secondary citation for Stage 4 context.</t>
  </si>
  <si>
    <t>Caldeira et al. (2022) Refactoring Insights</t>
  </si>
  <si>
    <t>Journal (C.S. &amp; Interfaces)</t>
  </si>
  <si>
    <t>IDE event mining + ML / refactoring quality</t>
  </si>
  <si>
    <t>L5</t>
  </si>
  <si>
    <t>71 teams on refactoring tasks. Demonstrates that IDE interaction logs predict product quality with up to 92.95% accuracy. Supports Stage 1 premise that fine-grained telemetry has standalone predictive value.</t>
  </si>
  <si>
    <t>Cook &amp; Wolf (1998) TOSEM</t>
  </si>
  <si>
    <t>Journal (TOSEM)</t>
  </si>
  <si>
    <t>Process discovery / event-based data</t>
  </si>
  <si>
    <t>L6</t>
  </si>
  <si>
    <t>Refined and extended version of Cook &amp; Wolf (1995). Core reference for the claim that software repositories support automated process reconstruction. Co-anchor of Stage 1/Stage 2 legitimacy.</t>
  </si>
  <si>
    <t>Tamura &amp; Yamada (2005) Reliability Release</t>
  </si>
  <si>
    <t>Generalized software reliability model / release time prediction</t>
  </si>
  <si>
    <t>IC4c</t>
  </si>
  <si>
    <t>Classic reliability-based release forecasting. Aggregate reliability growth rather than process-aware modeling. Excluded by QA; retained as contrastive footnote.</t>
  </si>
  <si>
    <t>Jeon, Park &amp; Baik (2015) Defect Markov</t>
  </si>
  <si>
    <t>Conference/Journal</t>
  </si>
  <si>
    <t>Markov chain / defect life-cycle forecasting</t>
  </si>
  <si>
    <t>Direct antecedent of Stage 3. Builds DTMC over defect states from Bugzilla-like histories. Applied to industrial mobile project. States pre-defined a priori rather than mined — the gap PATHCAST closes.</t>
  </si>
  <si>
    <t>Issue Handling Prediction (2022)</t>
  </si>
  <si>
    <t>Predictive process monitoring / ML</t>
  </si>
  <si>
    <t>Case-level prediction of issue handling using categorical encoding. Supports P5 layer but no explicit state-space modeling.</t>
  </si>
  <si>
    <t>Tyagi et al. (2021) Agile State-Space</t>
  </si>
  <si>
    <t>Book Chapter</t>
  </si>
  <si>
    <t>State-space approach / agile planning</t>
  </si>
  <si>
    <t>Formal dynamic modeling exists in agile SE, but empirical grounding weak. Excluded by QA.</t>
  </si>
  <si>
    <t>Rubin et al. (re-indexed) [DUPLICATE]</t>
  </si>
  <si>
    <t>Duplicate of #1</t>
  </si>
  <si>
    <t>Bibliographic supplement (snowballing audit)</t>
  </si>
  <si>
    <t>L6-supp</t>
  </si>
  <si>
    <t>Retained for snowballing audit traceability only. Analytically identical to entry #1; NOT counted in pillar distribution.</t>
  </si>
  <si>
    <t>Jeon et al. (2015) Risk Supplement</t>
  </si>
  <si>
    <t>Retained (related to #24)</t>
  </si>
  <si>
    <t>Probabilistic risk prediction / repository-based</t>
  </si>
  <si>
    <t>Independent probabilistic-risk formulation grounded in repository data. Reinforces repository-driven stochastic prediction in SE.</t>
  </si>
  <si>
    <t>Empirical PM in SE (IEEE 2020)</t>
  </si>
  <si>
    <t>Conference (IEEE)</t>
  </si>
  <si>
    <t>Empirical PM applied to SE / mid-2020s wave</t>
  </si>
  <si>
    <t>Contributes to volume-based evidence for the Descriptive Ceiling finding (F1). Wave of early-2020s PM applications in SE.</t>
  </si>
  <si>
    <t>EasyChair Preprint 10778 (2023)</t>
  </si>
  <si>
    <t>Preprint</t>
  </si>
  <si>
    <t>Preprint-stage forecasting/simulation-oriented</t>
  </si>
  <si>
    <t>Non-peer-reviewed. Excluded by QA; breadth indication only.</t>
  </si>
  <si>
    <t>Pillar Distribution — After Deduplication and QA Exclusion</t>
  </si>
  <si>
    <t>Pillar</t>
  </si>
  <si>
    <t>Primary (retained)</t>
  </si>
  <si>
    <t>Secondary (retained)</t>
  </si>
  <si>
    <t>Notes</t>
  </si>
  <si>
    <t>Event log construction and PM foundation (Stage 1 legitimacy).</t>
  </si>
  <si>
    <t>Process discovery and conformance (Stage 2 legitimacy).</t>
  </si>
  <si>
    <t>Stochastic state-based modeling (Stage 3 legitimacy).</t>
  </si>
  <si>
    <t>Simulation and probabilistic forecasting (Stage 4 legitimacy).</t>
  </si>
  <si>
    <t>Machine learning / decision support (enhancement layer).</t>
  </si>
  <si>
    <t>Multi-pillar architectural antecedent (PRIMAD only).</t>
  </si>
  <si>
    <t>TOTAL</t>
  </si>
  <si>
    <t>Note 1: Retained studies only; duplicate entry (#27) excluded from all counts.</t>
  </si>
  <si>
    <t>Note 2: Secondary pillar counts may exceed primary totals (a study may have multiple secondary pillars).</t>
  </si>
  <si>
    <t>Note 3: Excluded column shows studies that failed the QA threshold (&lt;4/8), grouped by their primary pillar.</t>
  </si>
  <si>
    <t>SPMF Integration-Level Distribution — Retained Unique Studies</t>
  </si>
  <si>
    <t>Level</t>
  </si>
  <si>
    <t>Count (retained)</t>
  </si>
  <si>
    <t>Excluded by QA</t>
  </si>
  <si>
    <t>Interpretation</t>
  </si>
  <si>
    <t>Single analytical family; no cross-technique chaining.</t>
  </si>
  <si>
    <t>Two families present, but no explicit reproducible pipeline contract.</t>
  </si>
  <si>
    <t>Partial bridge: PM and stochastic linked, but incomplete pipeline or missing ML closure.</t>
  </si>
  <si>
    <t>Unified framework with formal inter-stage contracts. NO antecedent — PATHCAST is the first proposal at this level.</t>
  </si>
  <si>
    <t>Quality Assessment — Finalized for the In-Depth Analytical Subset</t>
  </si>
  <si>
    <t>QA Outcome</t>
  </si>
  <si>
    <t>Value</t>
  </si>
  <si>
    <t>Total entries in master table</t>
  </si>
  <si>
    <t>Raw count including duplicate-marked entry #27</t>
  </si>
  <si>
    <t>Duplicate entries (audit-only)</t>
  </si>
  <si>
    <t>Entry #27 (Rubin re-indexed); excluded from all counts</t>
  </si>
  <si>
    <t>Unique studies after deduplication</t>
  </si>
  <si>
    <t>Effective analytical corpus of Chapter 3</t>
  </si>
  <si>
    <t>QA instrument</t>
  </si>
  <si>
    <t>8 binary criteria, max score 8/8</t>
  </si>
  <si>
    <t>As declared in Table 3.6; same instrument applied uniformly</t>
  </si>
  <si>
    <t>Retention threshold</t>
  </si>
  <si>
    <t>≥ 4 / 8 (50%)</t>
  </si>
  <si>
    <t>As declared in Section 3.2.5</t>
  </si>
  <si>
    <t>Studies retained after QA</t>
  </si>
  <si>
    <t>Load-bearing citations for synthesis and positioning claims</t>
  </si>
  <si>
    <t>Studies excluded by QA (&lt;4/8)</t>
  </si>
  <si>
    <t>Ar Razi 2019, Intelligent RE 2021, Structured Stochastic 2015, Tamura &amp; Yamada 2005, Tyagi 2021, EasyChair Preprint 10778</t>
  </si>
  <si>
    <t>Mean QA score (retained subset)</t>
  </si>
  <si>
    <t>Arithmetic mean across retained studies</t>
  </si>
  <si>
    <t>Median QA score (retained)</t>
  </si>
  <si>
    <t>Median of retained QA scores</t>
  </si>
  <si>
    <t>Min QA score (retained)</t>
  </si>
  <si>
    <t>Lowest-scoring retained study</t>
  </si>
  <si>
    <t>Max QA score (retained)</t>
  </si>
  <si>
    <t>Highest-scoring retained study (VLMC Conformance, 8/8)</t>
  </si>
  <si>
    <t>Broader confirmed corpus (protocol level)</t>
  </si>
  <si>
    <t>PRISMA-confirmed set. QA applied at analytical-subset level, consistent with evidence-based SE practice.</t>
  </si>
  <si>
    <t>Methodological note on role of QA</t>
  </si>
  <si>
    <t>Confirmatory in this subset</t>
  </si>
  <si>
    <t>The in-depth subset was pre-selected through the six-batch analysis. QA here functions as a confirmatory verification: it identified 6 studies of insufficient rigor for load-bearing claims, which are retained only as contextual or footnote citations.</t>
  </si>
  <si>
    <t>Duplicate-Entry Audit</t>
  </si>
  <si>
    <t>Duplicate / Related entry</t>
  </si>
  <si>
    <t>Master entry</t>
  </si>
  <si>
    <t>Analytical note</t>
  </si>
  <si>
    <t>Duplicate entry</t>
  </si>
  <si>
    <t>#27 Rubin et al. (re-indexed)</t>
  </si>
  <si>
    <t>#1 Rubin et al. (2007)</t>
  </si>
  <si>
    <t>Identical content; re-indexed from snowballing pass. Preserved in the master table for bibliographic audit traceability, but NOT counted in pillar distribution (Sheet 'Pillar Distribution') nor in the unique-studies count (Sheet 'QA Summary'). No analytical claim in Chapter 3 relies on this entry.</t>
  </si>
  <si>
    <t>Related-but-distinct publications</t>
  </si>
  <si>
    <t>#13 Bhadra et al. (2023) RAMS</t>
  </si>
  <si>
    <t>#10 Bhadra (2022) ISSREW</t>
  </si>
  <si>
    <t>Separate publications (different venue, additional co-authors). Retained as distinct entries but evidential weight treated conservatively to avoid double-counting in the CI/CD SPN line.</t>
  </si>
  <si>
    <t>#28 Jeon et al. (2015) risk supplement</t>
  </si>
  <si>
    <t>#24 Jeon, Park &amp; Baik (2015) Defect Markov</t>
  </si>
  <si>
    <t>Separate publication with independent probabilistic-risk formulation. Retained as distinct entry; reinforces but does not replicate the Defect Markov evidence.</t>
  </si>
  <si>
    <t>PATHCAST — Chapter 3 Master Consolidation (V2)</t>
  </si>
  <si>
    <t>This workbook consolidates the 30 in-depth studies analyzed across six analytical lots of the SLR. V2 corrects three defects found in V1 and in parallel external proposals:</t>
  </si>
  <si>
    <t xml:space="preserve">  1. QA scale aligned with the 0/1 binary instrument of Table 3.6 (max 8), preserving internal consistency with Section 3.2.5.</t>
  </si>
  <si>
    <t xml:space="preserve">  2. Deduplication effectively applied to pillar counts. Entry #27 (Rubin re-indexed, identical to #1) is preserved for bibliographic audit but NOT counted.</t>
  </si>
  <si>
    <t xml:space="preserve">  3. QA threshold 4/8 applied with real discriminative power: 6 studies are excluded as below-threshold and retained only for contextual footnote use.</t>
  </si>
  <si>
    <t>Sheets:</t>
  </si>
  <si>
    <t xml:space="preserve">  • Master Consolidation — 30 entries, color-coded by status: green (retained), orange (excluded by QA), yellow (duplicate). QA Total and Threshold columns use live formulas over QA1..QA8.</t>
  </si>
  <si>
    <t xml:space="preserve">  • Pillar Distribution — counts by pillar (primary, secondary, excluded), computed only over retained unique studies.</t>
  </si>
  <si>
    <t xml:space="preserve">  • SPMF Level Distribution — counts per integration level, with separate column for QA-excluded studies. Confirms L3 is empty: PATHCAST has no antecedent at this level.</t>
  </si>
  <si>
    <t xml:space="preserve">  • QA Summary — finalized QA statistics for the defense version. Replaces the 'in progress' placeholder from the draft Table 3.7.</t>
  </si>
  <si>
    <t xml:space="preserve">  • Duplicate Audit — explicit record of duplicate (#27) and related-but-distinct (#13, #28) entries, with analytical notes.</t>
  </si>
  <si>
    <t>Methodological framing:</t>
  </si>
  <si>
    <t>For the defense version, QA is reported as finalized for the in-depth analytical subset actually used in Chapter 3's synthesis and positioning. This subset was pre-selected through the six-batch analysis. QA here functions as a confirmatory verification rather than as an eliminatory filter at entry: it identified 6 studies of insufficient rigor for load-bearing claims, which are retained in the master table for breadth indication but are not cited as primary support for Chapter 3's interpretive claims. This approach preserves the instrument's discriminative power without contradicting the pre-selection that occurred during the batch analysis.</t>
  </si>
  <si>
    <t>The broader 169-study confirmed set remains documented at the protocol level (inclusion/exclusion decisions in Section 3.2.3), and 73 of those have PDF-based enrichment described in Section 3.4.4.</t>
  </si>
  <si>
    <t>Generated for the PATHCAST thesis, Chapter 3 defense version, 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</si>
</sst>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0"/>
      <color rgb="FFFFFFFF"/>
      <name val="Arial"/>
      <family val="2"/>
    </font>
    <font>
      <sz val="10"/>
      <name val="Arial"/>
      <family val="2"/>
    </font>
    <font>
      <b/>
      <sz val="10"/>
      <name val="Arial"/>
      <family val="2"/>
    </font>
    <font>
      <b/>
      <sz val="13"/>
      <color rgb="FF1F4E78"/>
      <name val="Arial"/>
      <family val="2"/>
    </font>
    <font>
      <b/>
      <sz val="11"/>
      <name val="Arial"/>
      <family val="2"/>
    </font>
    <font>
      <i/>
      <sz val="9"/>
      <name val="Arial"/>
      <family val="2"/>
    </font>
    <font>
      <b/>
      <sz val="12"/>
      <color rgb="FF1F4E78"/>
      <name val="Arial"/>
      <family val="2"/>
    </font>
  </fonts>
  <fills count="7">
    <fill>
      <patternFill patternType="none"/>
    </fill>
    <fill>
      <patternFill patternType="gray125"/>
    </fill>
    <fill>
      <patternFill patternType="solid">
        <fgColor rgb="FF1F4E78"/>
        <bgColor rgb="FF003366"/>
      </patternFill>
    </fill>
    <fill>
      <patternFill patternType="solid">
        <fgColor rgb="FFE2EFDA"/>
        <bgColor rgb="FFD9E1F2"/>
      </patternFill>
    </fill>
    <fill>
      <patternFill patternType="solid">
        <fgColor rgb="FFFCE4D6"/>
        <bgColor rgb="FFFFF2CC"/>
      </patternFill>
    </fill>
    <fill>
      <patternFill patternType="solid">
        <fgColor rgb="FFFFF2CC"/>
        <bgColor rgb="FFFCE4D6"/>
      </patternFill>
    </fill>
    <fill>
      <patternFill patternType="solid">
        <fgColor rgb="FFD9E1F2"/>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6" fillId="0" borderId="0" xfId="0" applyFont="1" applyAlignment="1">
      <alignment wrapText="1"/>
    </xf>
    <xf numFmtId="0" fontId="4" fillId="0" borderId="0" xfId="0" applyFont="1"/>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0" applyFont="1" applyFill="1" applyBorder="1" applyAlignment="1">
      <alignment horizontal="center" vertical="top"/>
    </xf>
    <xf numFmtId="0" fontId="2" fillId="4" borderId="1" xfId="0" applyFont="1" applyFill="1" applyBorder="1" applyAlignment="1">
      <alignment vertical="top" wrapText="1"/>
    </xf>
    <xf numFmtId="0" fontId="3" fillId="4" borderId="1" xfId="0" applyFont="1" applyFill="1" applyBorder="1" applyAlignment="1">
      <alignment horizontal="center" vertical="top"/>
    </xf>
    <xf numFmtId="0" fontId="2" fillId="5" borderId="1" xfId="0" applyFont="1" applyFill="1" applyBorder="1" applyAlignment="1">
      <alignment vertical="top" wrapText="1"/>
    </xf>
    <xf numFmtId="0" fontId="3" fillId="5" borderId="1" xfId="0" applyFont="1" applyFill="1" applyBorder="1" applyAlignment="1">
      <alignment horizontal="center" vertical="top"/>
    </xf>
    <xf numFmtId="0" fontId="1" fillId="2" borderId="1" xfId="0" applyFont="1" applyFill="1" applyBorder="1" applyAlignment="1">
      <alignment horizontal="center" wrapText="1"/>
    </xf>
    <xf numFmtId="0" fontId="5" fillId="0" borderId="1" xfId="0" applyFont="1" applyBorder="1" applyAlignment="1">
      <alignment vertical="top" wrapText="1"/>
    </xf>
    <xf numFmtId="0" fontId="2" fillId="0" borderId="1" xfId="0" applyFont="1" applyBorder="1" applyAlignment="1">
      <alignment vertical="top" wrapText="1"/>
    </xf>
    <xf numFmtId="0" fontId="5" fillId="6" borderId="1" xfId="0" applyFont="1" applyFill="1" applyBorder="1"/>
    <xf numFmtId="0" fontId="0" fillId="6" borderId="1" xfId="0" applyFill="1" applyBorder="1"/>
    <xf numFmtId="0" fontId="1" fillId="2" borderId="1" xfId="0" applyFont="1" applyFill="1" applyBorder="1" applyAlignment="1">
      <alignment horizontal="center"/>
    </xf>
    <xf numFmtId="0" fontId="7"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1"/>
  <sheetViews>
    <sheetView tabSelected="1" zoomScaleNormal="100" workbookViewId="0">
      <pane xSplit="1" ySplit="1" topLeftCell="B2" activePane="bottomRight" state="frozen"/>
      <selection pane="topRight" activeCell="B1" sqref="B1"/>
      <selection pane="bottomLeft" activeCell="A2" sqref="A2"/>
      <selection pane="bottomRight" activeCell="U1" sqref="U1:U1048576"/>
    </sheetView>
  </sheetViews>
  <sheetFormatPr baseColWidth="10" defaultColWidth="8.6640625" defaultRowHeight="15" x14ac:dyDescent="0.2"/>
  <cols>
    <col min="1" max="1" width="4" customWidth="1"/>
    <col min="2" max="2" width="28" customWidth="1"/>
    <col min="3" max="3" width="6" customWidth="1"/>
    <col min="4" max="4" width="20" customWidth="1"/>
    <col min="5" max="6" width="12" customWidth="1"/>
    <col min="7" max="7" width="7" customWidth="1"/>
    <col min="8" max="15" width="4" customWidth="1"/>
    <col min="16" max="16" width="9" customWidth="1"/>
    <col min="17" max="17" width="10" customWidth="1"/>
    <col min="18" max="18" width="22" customWidth="1"/>
    <col min="19" max="19" width="28" customWidth="1"/>
    <col min="20" max="20" width="18" customWidth="1"/>
    <col min="21" max="21" width="10" customWidth="1"/>
    <col min="22" max="22" width="70" customWidth="1"/>
  </cols>
  <sheetData>
    <row r="1" spans="1:22" ht="49.5"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row>
    <row r="2" spans="1:22" ht="90" customHeight="1" x14ac:dyDescent="0.2">
      <c r="A2" s="4">
        <v>1</v>
      </c>
      <c r="B2" s="4" t="s">
        <v>22</v>
      </c>
      <c r="C2" s="4">
        <v>2007</v>
      </c>
      <c r="D2" s="4" t="s">
        <v>23</v>
      </c>
      <c r="E2" s="4" t="s">
        <v>24</v>
      </c>
      <c r="F2" s="4" t="s">
        <v>25</v>
      </c>
      <c r="G2" s="4" t="s">
        <v>26</v>
      </c>
      <c r="H2" s="4">
        <v>1</v>
      </c>
      <c r="I2" s="4">
        <v>1</v>
      </c>
      <c r="J2" s="4">
        <v>1</v>
      </c>
      <c r="K2" s="4">
        <v>1</v>
      </c>
      <c r="L2" s="4">
        <v>1</v>
      </c>
      <c r="M2" s="4">
        <v>0</v>
      </c>
      <c r="N2" s="4">
        <v>0</v>
      </c>
      <c r="O2" s="4">
        <v>0</v>
      </c>
      <c r="P2" s="5">
        <f t="shared" ref="P2:P31" si="0">SUM(H2:O2)</f>
        <v>5</v>
      </c>
      <c r="Q2" s="5" t="str">
        <f t="shared" ref="Q2:Q31" si="1">IF(P2&gt;=4,"PASS","FAIL")</f>
        <v>PASS</v>
      </c>
      <c r="R2" s="4" t="s">
        <v>27</v>
      </c>
      <c r="S2" s="4" t="s">
        <v>28</v>
      </c>
      <c r="T2" s="4" t="s">
        <v>29</v>
      </c>
      <c r="U2" s="4" t="s">
        <v>26</v>
      </c>
      <c r="V2" s="4" t="s">
        <v>30</v>
      </c>
    </row>
    <row r="3" spans="1:22" ht="90" customHeight="1" x14ac:dyDescent="0.2">
      <c r="A3" s="4">
        <v>2</v>
      </c>
      <c r="B3" s="4" t="s">
        <v>31</v>
      </c>
      <c r="C3" s="4">
        <v>2022</v>
      </c>
      <c r="D3" s="4" t="s">
        <v>32</v>
      </c>
      <c r="E3" s="4" t="s">
        <v>33</v>
      </c>
      <c r="F3" s="4" t="s">
        <v>34</v>
      </c>
      <c r="G3" s="4" t="s">
        <v>35</v>
      </c>
      <c r="H3" s="4">
        <v>1</v>
      </c>
      <c r="I3" s="4">
        <v>1</v>
      </c>
      <c r="J3" s="4">
        <v>1</v>
      </c>
      <c r="K3" s="4">
        <v>1</v>
      </c>
      <c r="L3" s="4">
        <v>1</v>
      </c>
      <c r="M3" s="4">
        <v>1</v>
      </c>
      <c r="N3" s="4">
        <v>1</v>
      </c>
      <c r="O3" s="4">
        <v>0</v>
      </c>
      <c r="P3" s="5">
        <f t="shared" si="0"/>
        <v>7</v>
      </c>
      <c r="Q3" s="5" t="str">
        <f t="shared" si="1"/>
        <v>PASS</v>
      </c>
      <c r="R3" s="4" t="s">
        <v>27</v>
      </c>
      <c r="S3" s="4" t="s">
        <v>36</v>
      </c>
      <c r="T3" s="4" t="s">
        <v>37</v>
      </c>
      <c r="U3" s="4" t="s">
        <v>26</v>
      </c>
      <c r="V3" s="4" t="s">
        <v>38</v>
      </c>
    </row>
    <row r="4" spans="1:22" ht="90" customHeight="1" x14ac:dyDescent="0.2">
      <c r="A4" s="4">
        <v>3</v>
      </c>
      <c r="B4" s="4" t="s">
        <v>39</v>
      </c>
      <c r="C4" s="4">
        <v>1995</v>
      </c>
      <c r="D4" s="4" t="s">
        <v>40</v>
      </c>
      <c r="E4" s="4" t="s">
        <v>25</v>
      </c>
      <c r="F4" s="4" t="s">
        <v>33</v>
      </c>
      <c r="G4" s="4" t="s">
        <v>26</v>
      </c>
      <c r="H4" s="4">
        <v>1</v>
      </c>
      <c r="I4" s="4">
        <v>1</v>
      </c>
      <c r="J4" s="4">
        <v>1</v>
      </c>
      <c r="K4" s="4">
        <v>1</v>
      </c>
      <c r="L4" s="4">
        <v>1</v>
      </c>
      <c r="M4" s="4">
        <v>0</v>
      </c>
      <c r="N4" s="4">
        <v>0</v>
      </c>
      <c r="O4" s="4">
        <v>0</v>
      </c>
      <c r="P4" s="5">
        <f t="shared" si="0"/>
        <v>5</v>
      </c>
      <c r="Q4" s="5" t="str">
        <f t="shared" si="1"/>
        <v>PASS</v>
      </c>
      <c r="R4" s="4" t="s">
        <v>41</v>
      </c>
      <c r="S4" s="4" t="s">
        <v>42</v>
      </c>
      <c r="T4" s="4" t="s">
        <v>43</v>
      </c>
      <c r="U4" s="4" t="s">
        <v>26</v>
      </c>
      <c r="V4" s="4" t="s">
        <v>44</v>
      </c>
    </row>
    <row r="5" spans="1:22" ht="90" customHeight="1" x14ac:dyDescent="0.2">
      <c r="A5" s="6">
        <v>4</v>
      </c>
      <c r="B5" s="6" t="s">
        <v>45</v>
      </c>
      <c r="C5" s="6">
        <v>2019</v>
      </c>
      <c r="D5" s="6" t="s">
        <v>46</v>
      </c>
      <c r="E5" s="6" t="s">
        <v>25</v>
      </c>
      <c r="F5" s="6" t="s">
        <v>47</v>
      </c>
      <c r="G5" s="6" t="s">
        <v>48</v>
      </c>
      <c r="H5" s="6">
        <v>1</v>
      </c>
      <c r="I5" s="6">
        <v>0</v>
      </c>
      <c r="J5" s="6">
        <v>0</v>
      </c>
      <c r="K5" s="6">
        <v>1</v>
      </c>
      <c r="L5" s="6">
        <v>0</v>
      </c>
      <c r="M5" s="6">
        <v>0</v>
      </c>
      <c r="N5" s="6">
        <v>0</v>
      </c>
      <c r="O5" s="6">
        <v>0</v>
      </c>
      <c r="P5" s="7">
        <f t="shared" si="0"/>
        <v>2</v>
      </c>
      <c r="Q5" s="7" t="str">
        <f t="shared" si="1"/>
        <v>FAIL</v>
      </c>
      <c r="R5" s="6" t="s">
        <v>49</v>
      </c>
      <c r="S5" s="6" t="s">
        <v>50</v>
      </c>
      <c r="T5" s="6" t="s">
        <v>51</v>
      </c>
      <c r="U5" s="6" t="s">
        <v>26</v>
      </c>
      <c r="V5" s="6" t="s">
        <v>52</v>
      </c>
    </row>
    <row r="6" spans="1:22" ht="90" customHeight="1" x14ac:dyDescent="0.2">
      <c r="A6" s="4">
        <v>5</v>
      </c>
      <c r="B6" s="4" t="s">
        <v>53</v>
      </c>
      <c r="C6" s="4">
        <v>2020</v>
      </c>
      <c r="D6" s="4" t="s">
        <v>54</v>
      </c>
      <c r="E6" s="4" t="s">
        <v>55</v>
      </c>
      <c r="F6" s="4" t="s">
        <v>56</v>
      </c>
      <c r="G6" s="4" t="s">
        <v>35</v>
      </c>
      <c r="H6" s="4">
        <v>1</v>
      </c>
      <c r="I6" s="4">
        <v>1</v>
      </c>
      <c r="J6" s="4">
        <v>1</v>
      </c>
      <c r="K6" s="4">
        <v>1</v>
      </c>
      <c r="L6" s="4">
        <v>1</v>
      </c>
      <c r="M6" s="4">
        <v>1</v>
      </c>
      <c r="N6" s="4">
        <v>0</v>
      </c>
      <c r="O6" s="4">
        <v>0</v>
      </c>
      <c r="P6" s="5">
        <f t="shared" si="0"/>
        <v>6</v>
      </c>
      <c r="Q6" s="5" t="str">
        <f t="shared" si="1"/>
        <v>PASS</v>
      </c>
      <c r="R6" s="4" t="s">
        <v>27</v>
      </c>
      <c r="S6" s="4" t="s">
        <v>57</v>
      </c>
      <c r="T6" s="4" t="s">
        <v>58</v>
      </c>
      <c r="U6" s="4" t="s">
        <v>26</v>
      </c>
      <c r="V6" s="4" t="s">
        <v>59</v>
      </c>
    </row>
    <row r="7" spans="1:22" ht="90" customHeight="1" x14ac:dyDescent="0.2">
      <c r="A7" s="4">
        <v>6</v>
      </c>
      <c r="B7" s="4" t="s">
        <v>60</v>
      </c>
      <c r="C7" s="4">
        <v>2019</v>
      </c>
      <c r="D7" s="4" t="s">
        <v>61</v>
      </c>
      <c r="E7" s="4" t="s">
        <v>24</v>
      </c>
      <c r="F7" s="4" t="s">
        <v>47</v>
      </c>
      <c r="G7" s="4" t="s">
        <v>48</v>
      </c>
      <c r="H7" s="4">
        <v>1</v>
      </c>
      <c r="I7" s="4">
        <v>1</v>
      </c>
      <c r="J7" s="4">
        <v>1</v>
      </c>
      <c r="K7" s="4">
        <v>0</v>
      </c>
      <c r="L7" s="4">
        <v>1</v>
      </c>
      <c r="M7" s="4">
        <v>0</v>
      </c>
      <c r="N7" s="4">
        <v>0</v>
      </c>
      <c r="O7" s="4">
        <v>0</v>
      </c>
      <c r="P7" s="5">
        <f t="shared" si="0"/>
        <v>4</v>
      </c>
      <c r="Q7" s="5" t="str">
        <f t="shared" si="1"/>
        <v>PASS</v>
      </c>
      <c r="R7" s="4" t="s">
        <v>27</v>
      </c>
      <c r="S7" s="4" t="s">
        <v>62</v>
      </c>
      <c r="T7" s="4" t="s">
        <v>29</v>
      </c>
      <c r="U7" s="4" t="s">
        <v>35</v>
      </c>
      <c r="V7" s="4" t="s">
        <v>63</v>
      </c>
    </row>
    <row r="8" spans="1:22" ht="90" customHeight="1" x14ac:dyDescent="0.2">
      <c r="A8" s="4">
        <v>7</v>
      </c>
      <c r="B8" s="4" t="s">
        <v>64</v>
      </c>
      <c r="C8" s="4">
        <v>2022</v>
      </c>
      <c r="D8" s="4" t="s">
        <v>32</v>
      </c>
      <c r="E8" s="4" t="s">
        <v>33</v>
      </c>
      <c r="F8" s="4" t="s">
        <v>55</v>
      </c>
      <c r="G8" s="4" t="s">
        <v>35</v>
      </c>
      <c r="H8" s="4">
        <v>1</v>
      </c>
      <c r="I8" s="4">
        <v>1</v>
      </c>
      <c r="J8" s="4">
        <v>1</v>
      </c>
      <c r="K8" s="4">
        <v>1</v>
      </c>
      <c r="L8" s="4">
        <v>1</v>
      </c>
      <c r="M8" s="4">
        <v>1</v>
      </c>
      <c r="N8" s="4">
        <v>0</v>
      </c>
      <c r="O8" s="4">
        <v>0</v>
      </c>
      <c r="P8" s="5">
        <f t="shared" si="0"/>
        <v>6</v>
      </c>
      <c r="Q8" s="5" t="str">
        <f t="shared" si="1"/>
        <v>PASS</v>
      </c>
      <c r="R8" s="4" t="s">
        <v>27</v>
      </c>
      <c r="S8" s="4" t="s">
        <v>65</v>
      </c>
      <c r="T8" s="4" t="s">
        <v>58</v>
      </c>
      <c r="U8" s="4" t="s">
        <v>35</v>
      </c>
      <c r="V8" s="4" t="s">
        <v>66</v>
      </c>
    </row>
    <row r="9" spans="1:22" ht="90" customHeight="1" x14ac:dyDescent="0.2">
      <c r="A9" s="6">
        <v>8</v>
      </c>
      <c r="B9" s="6" t="s">
        <v>67</v>
      </c>
      <c r="C9" s="6">
        <v>2021</v>
      </c>
      <c r="D9" s="6" t="s">
        <v>32</v>
      </c>
      <c r="E9" s="6" t="s">
        <v>68</v>
      </c>
      <c r="F9" s="6" t="s">
        <v>47</v>
      </c>
      <c r="G9" s="6" t="s">
        <v>48</v>
      </c>
      <c r="H9" s="6">
        <v>1</v>
      </c>
      <c r="I9" s="6">
        <v>0</v>
      </c>
      <c r="J9" s="6">
        <v>0</v>
      </c>
      <c r="K9" s="6">
        <v>0</v>
      </c>
      <c r="L9" s="6">
        <v>0</v>
      </c>
      <c r="M9" s="6">
        <v>0</v>
      </c>
      <c r="N9" s="6">
        <v>0</v>
      </c>
      <c r="O9" s="6">
        <v>0</v>
      </c>
      <c r="P9" s="7">
        <f t="shared" si="0"/>
        <v>1</v>
      </c>
      <c r="Q9" s="7" t="str">
        <f t="shared" si="1"/>
        <v>FAIL</v>
      </c>
      <c r="R9" s="6" t="s">
        <v>49</v>
      </c>
      <c r="S9" s="6" t="s">
        <v>69</v>
      </c>
      <c r="T9" s="6" t="s">
        <v>70</v>
      </c>
      <c r="U9" s="6" t="s">
        <v>35</v>
      </c>
      <c r="V9" s="6" t="s">
        <v>71</v>
      </c>
    </row>
    <row r="10" spans="1:22" ht="90" customHeight="1" x14ac:dyDescent="0.2">
      <c r="A10" s="4">
        <v>9</v>
      </c>
      <c r="B10" s="4" t="s">
        <v>72</v>
      </c>
      <c r="C10" s="4">
        <v>2020</v>
      </c>
      <c r="D10" s="4" t="s">
        <v>32</v>
      </c>
      <c r="E10" s="4" t="s">
        <v>55</v>
      </c>
      <c r="F10" s="4" t="s">
        <v>33</v>
      </c>
      <c r="G10" s="4" t="s">
        <v>35</v>
      </c>
      <c r="H10" s="4">
        <v>1</v>
      </c>
      <c r="I10" s="4">
        <v>1</v>
      </c>
      <c r="J10" s="4">
        <v>1</v>
      </c>
      <c r="K10" s="4">
        <v>1</v>
      </c>
      <c r="L10" s="4">
        <v>1</v>
      </c>
      <c r="M10" s="4">
        <v>1</v>
      </c>
      <c r="N10" s="4">
        <v>0</v>
      </c>
      <c r="O10" s="4">
        <v>0</v>
      </c>
      <c r="P10" s="5">
        <f t="shared" si="0"/>
        <v>6</v>
      </c>
      <c r="Q10" s="5" t="str">
        <f t="shared" si="1"/>
        <v>PASS</v>
      </c>
      <c r="R10" s="4" t="s">
        <v>27</v>
      </c>
      <c r="S10" s="4" t="s">
        <v>73</v>
      </c>
      <c r="T10" s="4" t="s">
        <v>58</v>
      </c>
      <c r="U10" s="4" t="s">
        <v>35</v>
      </c>
      <c r="V10" s="4" t="s">
        <v>74</v>
      </c>
    </row>
    <row r="11" spans="1:22" ht="90" customHeight="1" x14ac:dyDescent="0.2">
      <c r="A11" s="4">
        <v>10</v>
      </c>
      <c r="B11" s="4" t="s">
        <v>75</v>
      </c>
      <c r="C11" s="4">
        <v>2022</v>
      </c>
      <c r="D11" s="4" t="s">
        <v>76</v>
      </c>
      <c r="E11" s="4" t="s">
        <v>33</v>
      </c>
      <c r="F11" s="4" t="s">
        <v>55</v>
      </c>
      <c r="G11" s="4" t="s">
        <v>35</v>
      </c>
      <c r="H11" s="4">
        <v>1</v>
      </c>
      <c r="I11" s="4">
        <v>1</v>
      </c>
      <c r="J11" s="4">
        <v>1</v>
      </c>
      <c r="K11" s="4">
        <v>1</v>
      </c>
      <c r="L11" s="4">
        <v>1</v>
      </c>
      <c r="M11" s="4">
        <v>0</v>
      </c>
      <c r="N11" s="4">
        <v>0</v>
      </c>
      <c r="O11" s="4">
        <v>0</v>
      </c>
      <c r="P11" s="5">
        <f t="shared" si="0"/>
        <v>5</v>
      </c>
      <c r="Q11" s="5" t="str">
        <f t="shared" si="1"/>
        <v>PASS</v>
      </c>
      <c r="R11" s="4" t="s">
        <v>27</v>
      </c>
      <c r="S11" s="4" t="s">
        <v>77</v>
      </c>
      <c r="T11" s="4" t="s">
        <v>78</v>
      </c>
      <c r="U11" s="4" t="s">
        <v>35</v>
      </c>
      <c r="V11" s="4" t="s">
        <v>79</v>
      </c>
    </row>
    <row r="12" spans="1:22" ht="90" customHeight="1" x14ac:dyDescent="0.2">
      <c r="A12" s="4">
        <v>11</v>
      </c>
      <c r="B12" s="4" t="s">
        <v>80</v>
      </c>
      <c r="C12" s="4">
        <v>2023</v>
      </c>
      <c r="D12" s="4" t="s">
        <v>32</v>
      </c>
      <c r="E12" s="4" t="s">
        <v>33</v>
      </c>
      <c r="F12" s="4" t="s">
        <v>25</v>
      </c>
      <c r="G12" s="4" t="s">
        <v>26</v>
      </c>
      <c r="H12" s="4">
        <v>1</v>
      </c>
      <c r="I12" s="4">
        <v>1</v>
      </c>
      <c r="J12" s="4">
        <v>1</v>
      </c>
      <c r="K12" s="4">
        <v>1</v>
      </c>
      <c r="L12" s="4">
        <v>1</v>
      </c>
      <c r="M12" s="4">
        <v>0</v>
      </c>
      <c r="N12" s="4">
        <v>0</v>
      </c>
      <c r="O12" s="4">
        <v>0</v>
      </c>
      <c r="P12" s="5">
        <f t="shared" si="0"/>
        <v>5</v>
      </c>
      <c r="Q12" s="5" t="str">
        <f t="shared" si="1"/>
        <v>PASS</v>
      </c>
      <c r="R12" s="4" t="s">
        <v>27</v>
      </c>
      <c r="S12" s="4" t="s">
        <v>81</v>
      </c>
      <c r="T12" s="4" t="s">
        <v>82</v>
      </c>
      <c r="U12" s="4" t="s">
        <v>83</v>
      </c>
      <c r="V12" s="4" t="s">
        <v>84</v>
      </c>
    </row>
    <row r="13" spans="1:22" ht="90" customHeight="1" x14ac:dyDescent="0.2">
      <c r="A13" s="4">
        <v>12</v>
      </c>
      <c r="B13" s="4" t="s">
        <v>85</v>
      </c>
      <c r="C13" s="4">
        <v>2024</v>
      </c>
      <c r="D13" s="4" t="s">
        <v>32</v>
      </c>
      <c r="E13" s="4" t="s">
        <v>33</v>
      </c>
      <c r="F13" s="4" t="s">
        <v>25</v>
      </c>
      <c r="G13" s="4" t="s">
        <v>26</v>
      </c>
      <c r="H13" s="4">
        <v>1</v>
      </c>
      <c r="I13" s="4">
        <v>1</v>
      </c>
      <c r="J13" s="4">
        <v>1</v>
      </c>
      <c r="K13" s="4">
        <v>1</v>
      </c>
      <c r="L13" s="4">
        <v>1</v>
      </c>
      <c r="M13" s="4">
        <v>1</v>
      </c>
      <c r="N13" s="4">
        <v>0</v>
      </c>
      <c r="O13" s="4">
        <v>0</v>
      </c>
      <c r="P13" s="5">
        <f t="shared" si="0"/>
        <v>6</v>
      </c>
      <c r="Q13" s="5" t="str">
        <f t="shared" si="1"/>
        <v>PASS</v>
      </c>
      <c r="R13" s="4" t="s">
        <v>27</v>
      </c>
      <c r="S13" s="4" t="s">
        <v>86</v>
      </c>
      <c r="T13" s="4" t="s">
        <v>82</v>
      </c>
      <c r="U13" s="4" t="s">
        <v>83</v>
      </c>
      <c r="V13" s="4" t="s">
        <v>87</v>
      </c>
    </row>
    <row r="14" spans="1:22" ht="90" customHeight="1" x14ac:dyDescent="0.2">
      <c r="A14" s="4">
        <v>13</v>
      </c>
      <c r="B14" s="4" t="s">
        <v>88</v>
      </c>
      <c r="C14" s="4">
        <v>2023</v>
      </c>
      <c r="D14" s="4" t="s">
        <v>89</v>
      </c>
      <c r="E14" s="4" t="s">
        <v>33</v>
      </c>
      <c r="F14" s="4" t="s">
        <v>55</v>
      </c>
      <c r="G14" s="4" t="s">
        <v>35</v>
      </c>
      <c r="H14" s="4">
        <v>1</v>
      </c>
      <c r="I14" s="4">
        <v>1</v>
      </c>
      <c r="J14" s="4">
        <v>1</v>
      </c>
      <c r="K14" s="4">
        <v>1</v>
      </c>
      <c r="L14" s="4">
        <v>1</v>
      </c>
      <c r="M14" s="4">
        <v>0</v>
      </c>
      <c r="N14" s="4">
        <v>0</v>
      </c>
      <c r="O14" s="4">
        <v>0</v>
      </c>
      <c r="P14" s="5">
        <f t="shared" si="0"/>
        <v>5</v>
      </c>
      <c r="Q14" s="5" t="str">
        <f t="shared" si="1"/>
        <v>PASS</v>
      </c>
      <c r="R14" s="4" t="s">
        <v>90</v>
      </c>
      <c r="S14" s="4" t="s">
        <v>91</v>
      </c>
      <c r="T14" s="4" t="s">
        <v>78</v>
      </c>
      <c r="U14" s="4" t="s">
        <v>83</v>
      </c>
      <c r="V14" s="4" t="s">
        <v>92</v>
      </c>
    </row>
    <row r="15" spans="1:22" ht="90" customHeight="1" x14ac:dyDescent="0.2">
      <c r="A15" s="4">
        <v>14</v>
      </c>
      <c r="B15" s="4" t="s">
        <v>93</v>
      </c>
      <c r="C15" s="4">
        <v>2023</v>
      </c>
      <c r="D15" s="4" t="s">
        <v>32</v>
      </c>
      <c r="E15" s="4" t="s">
        <v>68</v>
      </c>
      <c r="F15" s="4" t="s">
        <v>33</v>
      </c>
      <c r="G15" s="4" t="s">
        <v>26</v>
      </c>
      <c r="H15" s="4">
        <v>1</v>
      </c>
      <c r="I15" s="4">
        <v>1</v>
      </c>
      <c r="J15" s="4">
        <v>1</v>
      </c>
      <c r="K15" s="4">
        <v>1</v>
      </c>
      <c r="L15" s="4">
        <v>1</v>
      </c>
      <c r="M15" s="4">
        <v>0</v>
      </c>
      <c r="N15" s="4">
        <v>0</v>
      </c>
      <c r="O15" s="4">
        <v>0</v>
      </c>
      <c r="P15" s="5">
        <f t="shared" si="0"/>
        <v>5</v>
      </c>
      <c r="Q15" s="5" t="str">
        <f t="shared" si="1"/>
        <v>PASS</v>
      </c>
      <c r="R15" s="4" t="s">
        <v>27</v>
      </c>
      <c r="S15" s="4" t="s">
        <v>94</v>
      </c>
      <c r="T15" s="4" t="s">
        <v>95</v>
      </c>
      <c r="U15" s="4" t="s">
        <v>83</v>
      </c>
      <c r="V15" s="4" t="s">
        <v>96</v>
      </c>
    </row>
    <row r="16" spans="1:22" ht="90" customHeight="1" x14ac:dyDescent="0.2">
      <c r="A16" s="4">
        <v>15</v>
      </c>
      <c r="B16" s="4" t="s">
        <v>97</v>
      </c>
      <c r="C16" s="4">
        <v>2025</v>
      </c>
      <c r="D16" s="4" t="s">
        <v>98</v>
      </c>
      <c r="E16" s="4" t="s">
        <v>55</v>
      </c>
      <c r="F16" s="4" t="s">
        <v>68</v>
      </c>
      <c r="G16" s="4" t="s">
        <v>35</v>
      </c>
      <c r="H16" s="4">
        <v>1</v>
      </c>
      <c r="I16" s="4">
        <v>1</v>
      </c>
      <c r="J16" s="4">
        <v>1</v>
      </c>
      <c r="K16" s="4">
        <v>1</v>
      </c>
      <c r="L16" s="4">
        <v>1</v>
      </c>
      <c r="M16" s="4">
        <v>1</v>
      </c>
      <c r="N16" s="4">
        <v>0</v>
      </c>
      <c r="O16" s="4">
        <v>0</v>
      </c>
      <c r="P16" s="5">
        <f t="shared" si="0"/>
        <v>6</v>
      </c>
      <c r="Q16" s="5" t="str">
        <f t="shared" si="1"/>
        <v>PASS</v>
      </c>
      <c r="R16" s="4" t="s">
        <v>27</v>
      </c>
      <c r="S16" s="4" t="s">
        <v>99</v>
      </c>
      <c r="T16" s="4" t="s">
        <v>78</v>
      </c>
      <c r="U16" s="4" t="s">
        <v>83</v>
      </c>
      <c r="V16" s="4" t="s">
        <v>100</v>
      </c>
    </row>
    <row r="17" spans="1:22" ht="90" customHeight="1" x14ac:dyDescent="0.2">
      <c r="A17" s="4">
        <v>16</v>
      </c>
      <c r="B17" s="4" t="s">
        <v>101</v>
      </c>
      <c r="C17" s="4">
        <v>2024</v>
      </c>
      <c r="D17" s="4" t="s">
        <v>102</v>
      </c>
      <c r="E17" s="4" t="s">
        <v>25</v>
      </c>
      <c r="F17" s="4" t="s">
        <v>33</v>
      </c>
      <c r="G17" s="4" t="s">
        <v>35</v>
      </c>
      <c r="H17" s="4">
        <v>1</v>
      </c>
      <c r="I17" s="4">
        <v>1</v>
      </c>
      <c r="J17" s="4">
        <v>1</v>
      </c>
      <c r="K17" s="4">
        <v>1</v>
      </c>
      <c r="L17" s="4">
        <v>1</v>
      </c>
      <c r="M17" s="4">
        <v>1</v>
      </c>
      <c r="N17" s="4">
        <v>1</v>
      </c>
      <c r="O17" s="4">
        <v>1</v>
      </c>
      <c r="P17" s="5">
        <f t="shared" si="0"/>
        <v>8</v>
      </c>
      <c r="Q17" s="5" t="str">
        <f t="shared" si="1"/>
        <v>PASS</v>
      </c>
      <c r="R17" s="4" t="s">
        <v>103</v>
      </c>
      <c r="S17" s="4" t="s">
        <v>104</v>
      </c>
      <c r="T17" s="4" t="s">
        <v>105</v>
      </c>
      <c r="U17" s="4" t="s">
        <v>106</v>
      </c>
      <c r="V17" s="4" t="s">
        <v>107</v>
      </c>
    </row>
    <row r="18" spans="1:22" ht="90" customHeight="1" x14ac:dyDescent="0.2">
      <c r="A18" s="4">
        <v>17</v>
      </c>
      <c r="B18" s="4" t="s">
        <v>108</v>
      </c>
      <c r="C18" s="4">
        <v>2025</v>
      </c>
      <c r="D18" s="4" t="s">
        <v>109</v>
      </c>
      <c r="E18" s="4" t="s">
        <v>110</v>
      </c>
      <c r="F18" s="4" t="s">
        <v>111</v>
      </c>
      <c r="G18" s="4" t="s">
        <v>35</v>
      </c>
      <c r="H18" s="4">
        <v>1</v>
      </c>
      <c r="I18" s="4">
        <v>1</v>
      </c>
      <c r="J18" s="4">
        <v>0</v>
      </c>
      <c r="K18" s="4">
        <v>1</v>
      </c>
      <c r="L18" s="4">
        <v>0</v>
      </c>
      <c r="M18" s="4">
        <v>1</v>
      </c>
      <c r="N18" s="4">
        <v>0</v>
      </c>
      <c r="O18" s="4">
        <v>0</v>
      </c>
      <c r="P18" s="5">
        <f t="shared" si="0"/>
        <v>4</v>
      </c>
      <c r="Q18" s="5" t="str">
        <f t="shared" si="1"/>
        <v>PASS</v>
      </c>
      <c r="R18" s="4" t="s">
        <v>27</v>
      </c>
      <c r="S18" s="4" t="s">
        <v>112</v>
      </c>
      <c r="T18" s="4" t="s">
        <v>37</v>
      </c>
      <c r="U18" s="4" t="s">
        <v>106</v>
      </c>
      <c r="V18" s="4" t="s">
        <v>113</v>
      </c>
    </row>
    <row r="19" spans="1:22" ht="90" customHeight="1" x14ac:dyDescent="0.2">
      <c r="A19" s="4">
        <v>18</v>
      </c>
      <c r="B19" s="4" t="s">
        <v>114</v>
      </c>
      <c r="C19" s="4">
        <v>2022</v>
      </c>
      <c r="D19" s="4" t="s">
        <v>32</v>
      </c>
      <c r="E19" s="4" t="s">
        <v>25</v>
      </c>
      <c r="F19" s="4" t="s">
        <v>24</v>
      </c>
      <c r="G19" s="4" t="s">
        <v>26</v>
      </c>
      <c r="H19" s="4">
        <v>1</v>
      </c>
      <c r="I19" s="4">
        <v>1</v>
      </c>
      <c r="J19" s="4">
        <v>1</v>
      </c>
      <c r="K19" s="4">
        <v>1</v>
      </c>
      <c r="L19" s="4">
        <v>1</v>
      </c>
      <c r="M19" s="4">
        <v>1</v>
      </c>
      <c r="N19" s="4">
        <v>0</v>
      </c>
      <c r="O19" s="4">
        <v>0</v>
      </c>
      <c r="P19" s="5">
        <f t="shared" si="0"/>
        <v>6</v>
      </c>
      <c r="Q19" s="5" t="str">
        <f t="shared" si="1"/>
        <v>PASS</v>
      </c>
      <c r="R19" s="4" t="s">
        <v>27</v>
      </c>
      <c r="S19" s="4" t="s">
        <v>115</v>
      </c>
      <c r="T19" s="4" t="s">
        <v>29</v>
      </c>
      <c r="U19" s="4" t="s">
        <v>106</v>
      </c>
      <c r="V19" s="4" t="s">
        <v>116</v>
      </c>
    </row>
    <row r="20" spans="1:22" ht="90" customHeight="1" x14ac:dyDescent="0.2">
      <c r="A20" s="6">
        <v>19</v>
      </c>
      <c r="B20" s="6" t="s">
        <v>117</v>
      </c>
      <c r="C20" s="6">
        <v>2015</v>
      </c>
      <c r="D20" s="6" t="s">
        <v>32</v>
      </c>
      <c r="E20" s="6" t="s">
        <v>33</v>
      </c>
      <c r="F20" s="6" t="s">
        <v>55</v>
      </c>
      <c r="G20" s="6" t="s">
        <v>26</v>
      </c>
      <c r="H20" s="6">
        <v>1</v>
      </c>
      <c r="I20" s="6">
        <v>0</v>
      </c>
      <c r="J20" s="6">
        <v>0</v>
      </c>
      <c r="K20" s="6">
        <v>1</v>
      </c>
      <c r="L20" s="6">
        <v>0</v>
      </c>
      <c r="M20" s="6">
        <v>0</v>
      </c>
      <c r="N20" s="6">
        <v>0</v>
      </c>
      <c r="O20" s="6">
        <v>0</v>
      </c>
      <c r="P20" s="7">
        <f t="shared" si="0"/>
        <v>2</v>
      </c>
      <c r="Q20" s="7" t="str">
        <f t="shared" si="1"/>
        <v>FAIL</v>
      </c>
      <c r="R20" s="6" t="s">
        <v>49</v>
      </c>
      <c r="S20" s="6" t="s">
        <v>118</v>
      </c>
      <c r="T20" s="6" t="s">
        <v>78</v>
      </c>
      <c r="U20" s="6" t="s">
        <v>106</v>
      </c>
      <c r="V20" s="6" t="s">
        <v>119</v>
      </c>
    </row>
    <row r="21" spans="1:22" ht="90" customHeight="1" x14ac:dyDescent="0.2">
      <c r="A21" s="4">
        <v>20</v>
      </c>
      <c r="B21" s="4" t="s">
        <v>120</v>
      </c>
      <c r="C21" s="4">
        <v>2022</v>
      </c>
      <c r="D21" s="4" t="s">
        <v>32</v>
      </c>
      <c r="E21" s="4" t="s">
        <v>55</v>
      </c>
      <c r="F21" s="4" t="s">
        <v>25</v>
      </c>
      <c r="G21" s="4" t="s">
        <v>26</v>
      </c>
      <c r="H21" s="4">
        <v>1</v>
      </c>
      <c r="I21" s="4">
        <v>1</v>
      </c>
      <c r="J21" s="4">
        <v>1</v>
      </c>
      <c r="K21" s="4">
        <v>1</v>
      </c>
      <c r="L21" s="4">
        <v>1</v>
      </c>
      <c r="M21" s="4">
        <v>0</v>
      </c>
      <c r="N21" s="4">
        <v>0</v>
      </c>
      <c r="O21" s="4">
        <v>1</v>
      </c>
      <c r="P21" s="5">
        <f t="shared" si="0"/>
        <v>6</v>
      </c>
      <c r="Q21" s="5" t="str">
        <f t="shared" si="1"/>
        <v>PASS</v>
      </c>
      <c r="R21" s="4" t="s">
        <v>27</v>
      </c>
      <c r="S21" s="4" t="s">
        <v>121</v>
      </c>
      <c r="T21" s="4" t="s">
        <v>105</v>
      </c>
      <c r="U21" s="4" t="s">
        <v>106</v>
      </c>
      <c r="V21" s="4" t="s">
        <v>122</v>
      </c>
    </row>
    <row r="22" spans="1:22" ht="90" customHeight="1" x14ac:dyDescent="0.2">
      <c r="A22" s="4">
        <v>21</v>
      </c>
      <c r="B22" s="4" t="s">
        <v>123</v>
      </c>
      <c r="C22" s="4">
        <v>2022</v>
      </c>
      <c r="D22" s="4" t="s">
        <v>124</v>
      </c>
      <c r="E22" s="4" t="s">
        <v>24</v>
      </c>
      <c r="F22" s="4" t="s">
        <v>68</v>
      </c>
      <c r="G22" s="4" t="s">
        <v>26</v>
      </c>
      <c r="H22" s="4">
        <v>1</v>
      </c>
      <c r="I22" s="4">
        <v>1</v>
      </c>
      <c r="J22" s="4">
        <v>1</v>
      </c>
      <c r="K22" s="4">
        <v>1</v>
      </c>
      <c r="L22" s="4">
        <v>1</v>
      </c>
      <c r="M22" s="4">
        <v>1</v>
      </c>
      <c r="N22" s="4">
        <v>0</v>
      </c>
      <c r="O22" s="4">
        <v>0</v>
      </c>
      <c r="P22" s="5">
        <f t="shared" si="0"/>
        <v>6</v>
      </c>
      <c r="Q22" s="5" t="str">
        <f t="shared" si="1"/>
        <v>PASS</v>
      </c>
      <c r="R22" s="4" t="s">
        <v>27</v>
      </c>
      <c r="S22" s="4" t="s">
        <v>125</v>
      </c>
      <c r="T22" s="4" t="s">
        <v>29</v>
      </c>
      <c r="U22" s="4" t="s">
        <v>126</v>
      </c>
      <c r="V22" s="4" t="s">
        <v>127</v>
      </c>
    </row>
    <row r="23" spans="1:22" ht="90" customHeight="1" x14ac:dyDescent="0.2">
      <c r="A23" s="4">
        <v>22</v>
      </c>
      <c r="B23" s="4" t="s">
        <v>128</v>
      </c>
      <c r="C23" s="4">
        <v>1998</v>
      </c>
      <c r="D23" s="4" t="s">
        <v>129</v>
      </c>
      <c r="E23" s="4" t="s">
        <v>24</v>
      </c>
      <c r="F23" s="4" t="s">
        <v>25</v>
      </c>
      <c r="G23" s="4" t="s">
        <v>26</v>
      </c>
      <c r="H23" s="4">
        <v>1</v>
      </c>
      <c r="I23" s="4">
        <v>1</v>
      </c>
      <c r="J23" s="4">
        <v>1</v>
      </c>
      <c r="K23" s="4">
        <v>1</v>
      </c>
      <c r="L23" s="4">
        <v>1</v>
      </c>
      <c r="M23" s="4">
        <v>0</v>
      </c>
      <c r="N23" s="4">
        <v>0</v>
      </c>
      <c r="O23" s="4">
        <v>0</v>
      </c>
      <c r="P23" s="5">
        <f t="shared" si="0"/>
        <v>5</v>
      </c>
      <c r="Q23" s="5" t="str">
        <f t="shared" si="1"/>
        <v>PASS</v>
      </c>
      <c r="R23" s="4" t="s">
        <v>41</v>
      </c>
      <c r="S23" s="4" t="s">
        <v>130</v>
      </c>
      <c r="T23" s="4" t="s">
        <v>29</v>
      </c>
      <c r="U23" s="4" t="s">
        <v>131</v>
      </c>
      <c r="V23" s="4" t="s">
        <v>132</v>
      </c>
    </row>
    <row r="24" spans="1:22" ht="90" customHeight="1" x14ac:dyDescent="0.2">
      <c r="A24" s="6">
        <v>23</v>
      </c>
      <c r="B24" s="6" t="s">
        <v>133</v>
      </c>
      <c r="C24" s="6">
        <v>2005</v>
      </c>
      <c r="D24" s="6" t="s">
        <v>32</v>
      </c>
      <c r="E24" s="6" t="s">
        <v>33</v>
      </c>
      <c r="F24" s="6" t="s">
        <v>55</v>
      </c>
      <c r="G24" s="6" t="s">
        <v>48</v>
      </c>
      <c r="H24" s="6">
        <v>1</v>
      </c>
      <c r="I24" s="6">
        <v>0</v>
      </c>
      <c r="J24" s="6">
        <v>0</v>
      </c>
      <c r="K24" s="6">
        <v>1</v>
      </c>
      <c r="L24" s="6">
        <v>0</v>
      </c>
      <c r="M24" s="6">
        <v>0</v>
      </c>
      <c r="N24" s="6">
        <v>0</v>
      </c>
      <c r="O24" s="6">
        <v>0</v>
      </c>
      <c r="P24" s="7">
        <f t="shared" si="0"/>
        <v>2</v>
      </c>
      <c r="Q24" s="7" t="str">
        <f t="shared" si="1"/>
        <v>FAIL</v>
      </c>
      <c r="R24" s="6" t="s">
        <v>49</v>
      </c>
      <c r="S24" s="6" t="s">
        <v>134</v>
      </c>
      <c r="T24" s="6" t="s">
        <v>135</v>
      </c>
      <c r="U24" s="6" t="s">
        <v>131</v>
      </c>
      <c r="V24" s="6" t="s">
        <v>136</v>
      </c>
    </row>
    <row r="25" spans="1:22" ht="90" customHeight="1" x14ac:dyDescent="0.2">
      <c r="A25" s="4">
        <v>24</v>
      </c>
      <c r="B25" s="4" t="s">
        <v>137</v>
      </c>
      <c r="C25" s="4">
        <v>2015</v>
      </c>
      <c r="D25" s="4" t="s">
        <v>138</v>
      </c>
      <c r="E25" s="4" t="s">
        <v>33</v>
      </c>
      <c r="F25" s="4" t="s">
        <v>55</v>
      </c>
      <c r="G25" s="4" t="s">
        <v>35</v>
      </c>
      <c r="H25" s="4">
        <v>1</v>
      </c>
      <c r="I25" s="4">
        <v>1</v>
      </c>
      <c r="J25" s="4">
        <v>1</v>
      </c>
      <c r="K25" s="4">
        <v>1</v>
      </c>
      <c r="L25" s="4">
        <v>1</v>
      </c>
      <c r="M25" s="4">
        <v>1</v>
      </c>
      <c r="N25" s="4">
        <v>0</v>
      </c>
      <c r="O25" s="4">
        <v>0</v>
      </c>
      <c r="P25" s="5">
        <f t="shared" si="0"/>
        <v>6</v>
      </c>
      <c r="Q25" s="5" t="str">
        <f t="shared" si="1"/>
        <v>PASS</v>
      </c>
      <c r="R25" s="4" t="s">
        <v>27</v>
      </c>
      <c r="S25" s="4" t="s">
        <v>139</v>
      </c>
      <c r="T25" s="4" t="s">
        <v>58</v>
      </c>
      <c r="U25" s="4" t="s">
        <v>131</v>
      </c>
      <c r="V25" s="4" t="s">
        <v>140</v>
      </c>
    </row>
    <row r="26" spans="1:22" ht="90" customHeight="1" x14ac:dyDescent="0.2">
      <c r="A26" s="4">
        <v>25</v>
      </c>
      <c r="B26" s="4" t="s">
        <v>141</v>
      </c>
      <c r="C26" s="4">
        <v>2022</v>
      </c>
      <c r="D26" s="4" t="s">
        <v>32</v>
      </c>
      <c r="E26" s="4" t="s">
        <v>68</v>
      </c>
      <c r="F26" s="4" t="s">
        <v>25</v>
      </c>
      <c r="G26" s="4" t="s">
        <v>26</v>
      </c>
      <c r="H26" s="4">
        <v>1</v>
      </c>
      <c r="I26" s="4">
        <v>1</v>
      </c>
      <c r="J26" s="4">
        <v>1</v>
      </c>
      <c r="K26" s="4">
        <v>0</v>
      </c>
      <c r="L26" s="4">
        <v>1</v>
      </c>
      <c r="M26" s="4">
        <v>0</v>
      </c>
      <c r="N26" s="4">
        <v>0</v>
      </c>
      <c r="O26" s="4">
        <v>0</v>
      </c>
      <c r="P26" s="5">
        <f t="shared" si="0"/>
        <v>4</v>
      </c>
      <c r="Q26" s="5" t="str">
        <f t="shared" si="1"/>
        <v>PASS</v>
      </c>
      <c r="R26" s="4" t="s">
        <v>27</v>
      </c>
      <c r="S26" s="4" t="s">
        <v>142</v>
      </c>
      <c r="T26" s="4" t="s">
        <v>95</v>
      </c>
      <c r="U26" s="4" t="s">
        <v>131</v>
      </c>
      <c r="V26" s="4" t="s">
        <v>143</v>
      </c>
    </row>
    <row r="27" spans="1:22" ht="90" customHeight="1" x14ac:dyDescent="0.2">
      <c r="A27" s="6">
        <v>26</v>
      </c>
      <c r="B27" s="6" t="s">
        <v>144</v>
      </c>
      <c r="C27" s="6">
        <v>2021</v>
      </c>
      <c r="D27" s="6" t="s">
        <v>145</v>
      </c>
      <c r="E27" s="6" t="s">
        <v>33</v>
      </c>
      <c r="F27" s="6" t="s">
        <v>55</v>
      </c>
      <c r="G27" s="6" t="s">
        <v>26</v>
      </c>
      <c r="H27" s="6">
        <v>1</v>
      </c>
      <c r="I27" s="6">
        <v>0</v>
      </c>
      <c r="J27" s="6">
        <v>0</v>
      </c>
      <c r="K27" s="6">
        <v>1</v>
      </c>
      <c r="L27" s="6">
        <v>0</v>
      </c>
      <c r="M27" s="6">
        <v>0</v>
      </c>
      <c r="N27" s="6">
        <v>0</v>
      </c>
      <c r="O27" s="6">
        <v>0</v>
      </c>
      <c r="P27" s="7">
        <f t="shared" si="0"/>
        <v>2</v>
      </c>
      <c r="Q27" s="7" t="str">
        <f t="shared" si="1"/>
        <v>FAIL</v>
      </c>
      <c r="R27" s="6" t="s">
        <v>49</v>
      </c>
      <c r="S27" s="6" t="s">
        <v>146</v>
      </c>
      <c r="T27" s="6" t="s">
        <v>78</v>
      </c>
      <c r="U27" s="6" t="s">
        <v>131</v>
      </c>
      <c r="V27" s="6" t="s">
        <v>147</v>
      </c>
    </row>
    <row r="28" spans="1:22" ht="90" customHeight="1" x14ac:dyDescent="0.2">
      <c r="A28" s="8">
        <v>27</v>
      </c>
      <c r="B28" s="8" t="s">
        <v>148</v>
      </c>
      <c r="C28" s="8">
        <v>2007</v>
      </c>
      <c r="D28" s="8" t="s">
        <v>109</v>
      </c>
      <c r="E28" s="8" t="s">
        <v>24</v>
      </c>
      <c r="F28" s="8" t="s">
        <v>25</v>
      </c>
      <c r="G28" s="8" t="s">
        <v>26</v>
      </c>
      <c r="H28" s="8">
        <v>1</v>
      </c>
      <c r="I28" s="8">
        <v>1</v>
      </c>
      <c r="J28" s="8">
        <v>1</v>
      </c>
      <c r="K28" s="8">
        <v>1</v>
      </c>
      <c r="L28" s="8">
        <v>1</v>
      </c>
      <c r="M28" s="8">
        <v>0</v>
      </c>
      <c r="N28" s="8">
        <v>0</v>
      </c>
      <c r="O28" s="8">
        <v>0</v>
      </c>
      <c r="P28" s="9">
        <f t="shared" si="0"/>
        <v>5</v>
      </c>
      <c r="Q28" s="9" t="str">
        <f t="shared" si="1"/>
        <v>PASS</v>
      </c>
      <c r="R28" s="8" t="s">
        <v>149</v>
      </c>
      <c r="S28" s="8" t="s">
        <v>150</v>
      </c>
      <c r="T28" s="8" t="s">
        <v>29</v>
      </c>
      <c r="U28" s="8" t="s">
        <v>151</v>
      </c>
      <c r="V28" s="8" t="s">
        <v>152</v>
      </c>
    </row>
    <row r="29" spans="1:22" ht="90" customHeight="1" x14ac:dyDescent="0.2">
      <c r="A29" s="4">
        <v>28</v>
      </c>
      <c r="B29" s="4" t="s">
        <v>153</v>
      </c>
      <c r="C29" s="4">
        <v>2015</v>
      </c>
      <c r="D29" s="4" t="s">
        <v>32</v>
      </c>
      <c r="E29" s="4" t="s">
        <v>33</v>
      </c>
      <c r="F29" s="4" t="s">
        <v>68</v>
      </c>
      <c r="G29" s="4" t="s">
        <v>35</v>
      </c>
      <c r="H29" s="4">
        <v>1</v>
      </c>
      <c r="I29" s="4">
        <v>1</v>
      </c>
      <c r="J29" s="4">
        <v>1</v>
      </c>
      <c r="K29" s="4">
        <v>1</v>
      </c>
      <c r="L29" s="4">
        <v>1</v>
      </c>
      <c r="M29" s="4">
        <v>1</v>
      </c>
      <c r="N29" s="4">
        <v>0</v>
      </c>
      <c r="O29" s="4">
        <v>0</v>
      </c>
      <c r="P29" s="5">
        <f t="shared" si="0"/>
        <v>6</v>
      </c>
      <c r="Q29" s="5" t="str">
        <f t="shared" si="1"/>
        <v>PASS</v>
      </c>
      <c r="R29" s="4" t="s">
        <v>154</v>
      </c>
      <c r="S29" s="4" t="s">
        <v>155</v>
      </c>
      <c r="T29" s="4" t="s">
        <v>58</v>
      </c>
      <c r="U29" s="4" t="s">
        <v>151</v>
      </c>
      <c r="V29" s="4" t="s">
        <v>156</v>
      </c>
    </row>
    <row r="30" spans="1:22" ht="90" customHeight="1" x14ac:dyDescent="0.2">
      <c r="A30" s="4">
        <v>29</v>
      </c>
      <c r="B30" s="4" t="s">
        <v>157</v>
      </c>
      <c r="C30" s="4">
        <v>2020</v>
      </c>
      <c r="D30" s="4" t="s">
        <v>158</v>
      </c>
      <c r="E30" s="4" t="s">
        <v>25</v>
      </c>
      <c r="F30" s="4" t="s">
        <v>24</v>
      </c>
      <c r="G30" s="4" t="s">
        <v>26</v>
      </c>
      <c r="H30" s="4">
        <v>1</v>
      </c>
      <c r="I30" s="4">
        <v>1</v>
      </c>
      <c r="J30" s="4">
        <v>1</v>
      </c>
      <c r="K30" s="4">
        <v>1</v>
      </c>
      <c r="L30" s="4">
        <v>1</v>
      </c>
      <c r="M30" s="4">
        <v>0</v>
      </c>
      <c r="N30" s="4">
        <v>0</v>
      </c>
      <c r="O30" s="4">
        <v>0</v>
      </c>
      <c r="P30" s="5">
        <f t="shared" si="0"/>
        <v>5</v>
      </c>
      <c r="Q30" s="5" t="str">
        <f t="shared" si="1"/>
        <v>PASS</v>
      </c>
      <c r="R30" s="4" t="s">
        <v>27</v>
      </c>
      <c r="S30" s="4" t="s">
        <v>159</v>
      </c>
      <c r="T30" s="4" t="s">
        <v>29</v>
      </c>
      <c r="U30" s="4" t="s">
        <v>151</v>
      </c>
      <c r="V30" s="4" t="s">
        <v>160</v>
      </c>
    </row>
    <row r="31" spans="1:22" ht="90" customHeight="1" x14ac:dyDescent="0.2">
      <c r="A31" s="6">
        <v>30</v>
      </c>
      <c r="B31" s="6" t="s">
        <v>161</v>
      </c>
      <c r="C31" s="6">
        <v>2023</v>
      </c>
      <c r="D31" s="6" t="s">
        <v>162</v>
      </c>
      <c r="E31" s="6" t="s">
        <v>33</v>
      </c>
      <c r="F31" s="6" t="s">
        <v>55</v>
      </c>
      <c r="G31" s="6" t="s">
        <v>26</v>
      </c>
      <c r="H31" s="6">
        <v>1</v>
      </c>
      <c r="I31" s="6">
        <v>0</v>
      </c>
      <c r="J31" s="6">
        <v>0</v>
      </c>
      <c r="K31" s="6">
        <v>0</v>
      </c>
      <c r="L31" s="6">
        <v>0</v>
      </c>
      <c r="M31" s="6">
        <v>0</v>
      </c>
      <c r="N31" s="6">
        <v>0</v>
      </c>
      <c r="O31" s="6">
        <v>0</v>
      </c>
      <c r="P31" s="7">
        <f t="shared" si="0"/>
        <v>1</v>
      </c>
      <c r="Q31" s="7" t="str">
        <f t="shared" si="1"/>
        <v>FAIL</v>
      </c>
      <c r="R31" s="6" t="s">
        <v>49</v>
      </c>
      <c r="S31" s="6" t="s">
        <v>163</v>
      </c>
      <c r="T31" s="6" t="s">
        <v>78</v>
      </c>
      <c r="U31" s="6" t="s">
        <v>151</v>
      </c>
      <c r="V31" s="6" t="s">
        <v>164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zoomScaleNormal="100" workbookViewId="0">
      <selection sqref="A1:E1"/>
    </sheetView>
  </sheetViews>
  <sheetFormatPr baseColWidth="10" defaultColWidth="8.6640625" defaultRowHeight="15" x14ac:dyDescent="0.2"/>
  <cols>
    <col min="1" max="1" width="14" customWidth="1"/>
    <col min="2" max="2" width="20" customWidth="1"/>
    <col min="3" max="3" width="22" customWidth="1"/>
    <col min="4" max="4" width="20" customWidth="1"/>
    <col min="5" max="5" width="58" customWidth="1"/>
  </cols>
  <sheetData>
    <row r="1" spans="1:5" ht="17" x14ac:dyDescent="0.2">
      <c r="A1" s="2" t="s">
        <v>165</v>
      </c>
      <c r="B1" s="2"/>
      <c r="C1" s="2"/>
      <c r="D1" s="2"/>
      <c r="E1" s="2"/>
    </row>
    <row r="3" spans="1:5" x14ac:dyDescent="0.2">
      <c r="A3" s="10" t="s">
        <v>166</v>
      </c>
      <c r="B3" s="10" t="s">
        <v>167</v>
      </c>
      <c r="C3" s="10" t="s">
        <v>168</v>
      </c>
      <c r="D3" s="10" t="s">
        <v>49</v>
      </c>
      <c r="E3" s="10" t="s">
        <v>169</v>
      </c>
    </row>
    <row r="4" spans="1:5" x14ac:dyDescent="0.2">
      <c r="A4" s="11" t="s">
        <v>24</v>
      </c>
      <c r="B4" s="12">
        <v>4</v>
      </c>
      <c r="C4" s="12">
        <v>5</v>
      </c>
      <c r="D4" s="12">
        <v>0</v>
      </c>
      <c r="E4" s="12" t="s">
        <v>170</v>
      </c>
    </row>
    <row r="5" spans="1:5" x14ac:dyDescent="0.2">
      <c r="A5" s="11" t="s">
        <v>25</v>
      </c>
      <c r="B5" s="12">
        <v>4</v>
      </c>
      <c r="C5" s="12">
        <v>6</v>
      </c>
      <c r="D5" s="12">
        <v>1</v>
      </c>
      <c r="E5" s="12" t="s">
        <v>171</v>
      </c>
    </row>
    <row r="6" spans="1:5" x14ac:dyDescent="0.2">
      <c r="A6" s="11" t="s">
        <v>33</v>
      </c>
      <c r="B6" s="12">
        <v>8</v>
      </c>
      <c r="C6" s="12">
        <v>5</v>
      </c>
      <c r="D6" s="12">
        <v>4</v>
      </c>
      <c r="E6" s="12" t="s">
        <v>172</v>
      </c>
    </row>
    <row r="7" spans="1:5" x14ac:dyDescent="0.2">
      <c r="A7" s="11" t="s">
        <v>55</v>
      </c>
      <c r="B7" s="12">
        <v>4</v>
      </c>
      <c r="C7" s="12">
        <v>4</v>
      </c>
      <c r="D7" s="12">
        <v>0</v>
      </c>
      <c r="E7" s="12" t="s">
        <v>173</v>
      </c>
    </row>
    <row r="8" spans="1:5" x14ac:dyDescent="0.2">
      <c r="A8" s="11" t="s">
        <v>68</v>
      </c>
      <c r="B8" s="12">
        <v>2</v>
      </c>
      <c r="C8" s="12">
        <v>5</v>
      </c>
      <c r="D8" s="12">
        <v>1</v>
      </c>
      <c r="E8" s="12" t="s">
        <v>174</v>
      </c>
    </row>
    <row r="9" spans="1:5" x14ac:dyDescent="0.2">
      <c r="A9" s="11" t="s">
        <v>110</v>
      </c>
      <c r="B9" s="12">
        <v>1</v>
      </c>
      <c r="C9" s="12">
        <v>0</v>
      </c>
      <c r="D9" s="12">
        <v>0</v>
      </c>
      <c r="E9" s="12" t="s">
        <v>175</v>
      </c>
    </row>
    <row r="10" spans="1:5" x14ac:dyDescent="0.2">
      <c r="A10" s="13" t="s">
        <v>176</v>
      </c>
      <c r="B10" s="13">
        <f>SUM(B4:B9)</f>
        <v>23</v>
      </c>
      <c r="C10" s="13">
        <f>SUM(C4:C9)</f>
        <v>25</v>
      </c>
      <c r="D10" s="13">
        <f>SUM(D4:D9)</f>
        <v>6</v>
      </c>
      <c r="E10" s="14"/>
    </row>
    <row r="12" spans="1:5" ht="15" customHeight="1" x14ac:dyDescent="0.2">
      <c r="A12" s="1" t="s">
        <v>177</v>
      </c>
      <c r="B12" s="1"/>
      <c r="C12" s="1"/>
      <c r="D12" s="1"/>
      <c r="E12" s="1"/>
    </row>
    <row r="13" spans="1:5" ht="15" customHeight="1" x14ac:dyDescent="0.2">
      <c r="A13" s="1" t="s">
        <v>178</v>
      </c>
      <c r="B13" s="1"/>
      <c r="C13" s="1"/>
      <c r="D13" s="1"/>
      <c r="E13" s="1"/>
    </row>
    <row r="14" spans="1:5" ht="15" customHeight="1" x14ac:dyDescent="0.2">
      <c r="A14" s="1" t="s">
        <v>179</v>
      </c>
      <c r="B14" s="1"/>
      <c r="C14" s="1"/>
      <c r="D14" s="1"/>
      <c r="E14" s="1"/>
    </row>
  </sheetData>
  <mergeCells count="4">
    <mergeCell ref="A1:E1"/>
    <mergeCell ref="A12:E12"/>
    <mergeCell ref="A13:E13"/>
    <mergeCell ref="A14:E1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
  <sheetViews>
    <sheetView zoomScaleNormal="100" workbookViewId="0">
      <selection sqref="A1:D1"/>
    </sheetView>
  </sheetViews>
  <sheetFormatPr baseColWidth="10" defaultColWidth="8.6640625" defaultRowHeight="15" x14ac:dyDescent="0.2"/>
  <cols>
    <col min="1" max="1" width="8" customWidth="1"/>
    <col min="2" max="3" width="16" customWidth="1"/>
    <col min="4" max="4" width="75" customWidth="1"/>
  </cols>
  <sheetData>
    <row r="1" spans="1:4" ht="17" x14ac:dyDescent="0.2">
      <c r="A1" s="2" t="s">
        <v>180</v>
      </c>
      <c r="B1" s="2"/>
      <c r="C1" s="2"/>
      <c r="D1" s="2"/>
    </row>
    <row r="3" spans="1:4" x14ac:dyDescent="0.2">
      <c r="A3" s="10" t="s">
        <v>181</v>
      </c>
      <c r="B3" s="10" t="s">
        <v>182</v>
      </c>
      <c r="C3" s="10" t="s">
        <v>183</v>
      </c>
      <c r="D3" s="10" t="s">
        <v>184</v>
      </c>
    </row>
    <row r="4" spans="1:4" ht="49.5" customHeight="1" x14ac:dyDescent="0.2">
      <c r="A4" s="11" t="s">
        <v>48</v>
      </c>
      <c r="B4" s="12">
        <v>1</v>
      </c>
      <c r="C4" s="12">
        <v>3</v>
      </c>
      <c r="D4" s="12" t="s">
        <v>185</v>
      </c>
    </row>
    <row r="5" spans="1:4" ht="49.5" customHeight="1" x14ac:dyDescent="0.2">
      <c r="A5" s="11" t="s">
        <v>26</v>
      </c>
      <c r="B5" s="12">
        <v>11</v>
      </c>
      <c r="C5" s="12">
        <v>3</v>
      </c>
      <c r="D5" s="12" t="s">
        <v>186</v>
      </c>
    </row>
    <row r="6" spans="1:4" ht="49.5" customHeight="1" x14ac:dyDescent="0.2">
      <c r="A6" s="11" t="s">
        <v>35</v>
      </c>
      <c r="B6" s="12">
        <v>11</v>
      </c>
      <c r="C6" s="12">
        <v>0</v>
      </c>
      <c r="D6" s="12" t="s">
        <v>187</v>
      </c>
    </row>
    <row r="7" spans="1:4" ht="49.5" customHeight="1" x14ac:dyDescent="0.2">
      <c r="A7" s="11" t="s">
        <v>83</v>
      </c>
      <c r="B7" s="12">
        <v>0</v>
      </c>
      <c r="C7" s="12">
        <v>0</v>
      </c>
      <c r="D7" s="12" t="s">
        <v>188</v>
      </c>
    </row>
    <row r="8" spans="1:4" x14ac:dyDescent="0.2">
      <c r="A8" s="13" t="s">
        <v>176</v>
      </c>
      <c r="B8" s="13">
        <f>SUM(B4:B7)</f>
        <v>23</v>
      </c>
      <c r="C8" s="13">
        <f>SUM(C4:C7)</f>
        <v>6</v>
      </c>
      <c r="D8" s="14"/>
    </row>
  </sheetData>
  <mergeCells count="1">
    <mergeCell ref="A1:D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6"/>
  <sheetViews>
    <sheetView zoomScaleNormal="100" workbookViewId="0">
      <selection sqref="A1:C1"/>
    </sheetView>
  </sheetViews>
  <sheetFormatPr baseColWidth="10" defaultColWidth="8.6640625" defaultRowHeight="15" x14ac:dyDescent="0.2"/>
  <cols>
    <col min="1" max="1" width="40" customWidth="1"/>
    <col min="2" max="2" width="35" customWidth="1"/>
    <col min="3" max="3" width="60" customWidth="1"/>
  </cols>
  <sheetData>
    <row r="1" spans="1:3" ht="17" x14ac:dyDescent="0.2">
      <c r="A1" s="2" t="s">
        <v>189</v>
      </c>
      <c r="B1" s="2"/>
      <c r="C1" s="2"/>
    </row>
    <row r="3" spans="1:3" x14ac:dyDescent="0.2">
      <c r="A3" s="15" t="s">
        <v>190</v>
      </c>
      <c r="B3" s="15" t="s">
        <v>191</v>
      </c>
      <c r="C3" s="15" t="s">
        <v>169</v>
      </c>
    </row>
    <row r="4" spans="1:3" ht="37.5" customHeight="1" x14ac:dyDescent="0.2">
      <c r="A4" s="12" t="s">
        <v>192</v>
      </c>
      <c r="B4" s="12">
        <v>30</v>
      </c>
      <c r="C4" s="12" t="s">
        <v>193</v>
      </c>
    </row>
    <row r="5" spans="1:3" ht="37.5" customHeight="1" x14ac:dyDescent="0.2">
      <c r="A5" s="12" t="s">
        <v>194</v>
      </c>
      <c r="B5" s="12">
        <v>1</v>
      </c>
      <c r="C5" s="12" t="s">
        <v>195</v>
      </c>
    </row>
    <row r="6" spans="1:3" ht="37.5" customHeight="1" x14ac:dyDescent="0.2">
      <c r="A6" s="12" t="s">
        <v>196</v>
      </c>
      <c r="B6" s="12">
        <v>29</v>
      </c>
      <c r="C6" s="12" t="s">
        <v>197</v>
      </c>
    </row>
    <row r="7" spans="1:3" ht="37.5" customHeight="1" x14ac:dyDescent="0.2">
      <c r="A7" s="12" t="s">
        <v>198</v>
      </c>
      <c r="B7" s="12" t="s">
        <v>199</v>
      </c>
      <c r="C7" s="12" t="s">
        <v>200</v>
      </c>
    </row>
    <row r="8" spans="1:3" ht="37.5" customHeight="1" x14ac:dyDescent="0.2">
      <c r="A8" s="12" t="s">
        <v>201</v>
      </c>
      <c r="B8" s="12" t="s">
        <v>202</v>
      </c>
      <c r="C8" s="12" t="s">
        <v>203</v>
      </c>
    </row>
    <row r="9" spans="1:3" ht="37.5" customHeight="1" x14ac:dyDescent="0.2">
      <c r="A9" s="12" t="s">
        <v>204</v>
      </c>
      <c r="B9" s="12">
        <v>23</v>
      </c>
      <c r="C9" s="12" t="s">
        <v>205</v>
      </c>
    </row>
    <row r="10" spans="1:3" ht="37.5" customHeight="1" x14ac:dyDescent="0.2">
      <c r="A10" s="12" t="s">
        <v>206</v>
      </c>
      <c r="B10" s="12">
        <v>6</v>
      </c>
      <c r="C10" s="12" t="s">
        <v>207</v>
      </c>
    </row>
    <row r="11" spans="1:3" ht="37.5" customHeight="1" x14ac:dyDescent="0.2">
      <c r="A11" s="12" t="s">
        <v>208</v>
      </c>
      <c r="B11" s="12">
        <v>5.52</v>
      </c>
      <c r="C11" s="12" t="s">
        <v>209</v>
      </c>
    </row>
    <row r="12" spans="1:3" ht="37.5" customHeight="1" x14ac:dyDescent="0.2">
      <c r="A12" s="12" t="s">
        <v>210</v>
      </c>
      <c r="B12" s="12">
        <v>6</v>
      </c>
      <c r="C12" s="12" t="s">
        <v>211</v>
      </c>
    </row>
    <row r="13" spans="1:3" ht="37.5" customHeight="1" x14ac:dyDescent="0.2">
      <c r="A13" s="12" t="s">
        <v>212</v>
      </c>
      <c r="B13" s="12">
        <v>4</v>
      </c>
      <c r="C13" s="12" t="s">
        <v>213</v>
      </c>
    </row>
    <row r="14" spans="1:3" ht="37.5" customHeight="1" x14ac:dyDescent="0.2">
      <c r="A14" s="12" t="s">
        <v>214</v>
      </c>
      <c r="B14" s="12">
        <v>8</v>
      </c>
      <c r="C14" s="12" t="s">
        <v>215</v>
      </c>
    </row>
    <row r="15" spans="1:3" ht="37.5" customHeight="1" x14ac:dyDescent="0.2">
      <c r="A15" s="12" t="s">
        <v>216</v>
      </c>
      <c r="B15" s="12">
        <v>169</v>
      </c>
      <c r="C15" s="12" t="s">
        <v>217</v>
      </c>
    </row>
    <row r="16" spans="1:3" ht="37.5" customHeight="1" x14ac:dyDescent="0.2">
      <c r="A16" s="12" t="s">
        <v>218</v>
      </c>
      <c r="B16" s="12" t="s">
        <v>219</v>
      </c>
      <c r="C16" s="12" t="s">
        <v>220</v>
      </c>
    </row>
  </sheetData>
  <mergeCells count="1">
    <mergeCell ref="A1:C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zoomScaleNormal="100" workbookViewId="0">
      <selection sqref="A1:C1"/>
    </sheetView>
  </sheetViews>
  <sheetFormatPr baseColWidth="10" defaultColWidth="8.6640625" defaultRowHeight="15" x14ac:dyDescent="0.2"/>
  <cols>
    <col min="1" max="2" width="32" customWidth="1"/>
    <col min="3" max="3" width="70" customWidth="1"/>
  </cols>
  <sheetData>
    <row r="1" spans="1:3" ht="17" x14ac:dyDescent="0.2">
      <c r="A1" s="2" t="s">
        <v>221</v>
      </c>
      <c r="B1" s="2"/>
      <c r="C1" s="2"/>
    </row>
    <row r="3" spans="1:3" x14ac:dyDescent="0.2">
      <c r="A3" s="10" t="s">
        <v>222</v>
      </c>
      <c r="B3" s="10" t="s">
        <v>223</v>
      </c>
      <c r="C3" s="10" t="s">
        <v>224</v>
      </c>
    </row>
    <row r="4" spans="1:3" ht="45" customHeight="1" x14ac:dyDescent="0.2">
      <c r="A4" s="12" t="s">
        <v>225</v>
      </c>
      <c r="B4" s="12" t="s">
        <v>223</v>
      </c>
      <c r="C4" s="12" t="s">
        <v>224</v>
      </c>
    </row>
    <row r="5" spans="1:3" ht="45" customHeight="1" x14ac:dyDescent="0.2">
      <c r="A5" s="12" t="s">
        <v>226</v>
      </c>
      <c r="B5" s="12" t="s">
        <v>227</v>
      </c>
      <c r="C5" s="12" t="s">
        <v>228</v>
      </c>
    </row>
    <row r="6" spans="1:3" ht="45" customHeight="1" x14ac:dyDescent="0.2">
      <c r="A6" s="12"/>
      <c r="B6" s="12"/>
      <c r="C6" s="12"/>
    </row>
    <row r="7" spans="1:3" ht="45" customHeight="1" x14ac:dyDescent="0.2">
      <c r="A7" s="12" t="s">
        <v>229</v>
      </c>
      <c r="B7" s="12"/>
      <c r="C7" s="12"/>
    </row>
    <row r="8" spans="1:3" ht="45" customHeight="1" x14ac:dyDescent="0.2">
      <c r="A8" s="12" t="s">
        <v>230</v>
      </c>
      <c r="B8" s="12" t="s">
        <v>231</v>
      </c>
      <c r="C8" s="12" t="s">
        <v>232</v>
      </c>
    </row>
    <row r="9" spans="1:3" ht="45" customHeight="1" x14ac:dyDescent="0.2">
      <c r="A9" s="12" t="s">
        <v>233</v>
      </c>
      <c r="B9" s="12" t="s">
        <v>234</v>
      </c>
      <c r="C9" s="12" t="s">
        <v>235</v>
      </c>
    </row>
  </sheetData>
  <mergeCells count="1">
    <mergeCell ref="A1:C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1"/>
  <sheetViews>
    <sheetView zoomScaleNormal="100" workbookViewId="0"/>
  </sheetViews>
  <sheetFormatPr baseColWidth="10" defaultColWidth="8.6640625" defaultRowHeight="15" x14ac:dyDescent="0.2"/>
  <cols>
    <col min="1" max="1" width="110" customWidth="1"/>
  </cols>
  <sheetData>
    <row r="1" spans="1:1" ht="39.75" customHeight="1" x14ac:dyDescent="0.2">
      <c r="A1" s="16" t="s">
        <v>236</v>
      </c>
    </row>
    <row r="2" spans="1:1" ht="12" customHeight="1" x14ac:dyDescent="0.2">
      <c r="A2" s="17"/>
    </row>
    <row r="3" spans="1:1" ht="39.75" customHeight="1" x14ac:dyDescent="0.2">
      <c r="A3" s="17" t="s">
        <v>237</v>
      </c>
    </row>
    <row r="4" spans="1:1" ht="12" customHeight="1" x14ac:dyDescent="0.2">
      <c r="A4" s="17"/>
    </row>
    <row r="5" spans="1:1" ht="39.75" customHeight="1" x14ac:dyDescent="0.2">
      <c r="A5" s="17" t="s">
        <v>238</v>
      </c>
    </row>
    <row r="6" spans="1:1" ht="39.75" customHeight="1" x14ac:dyDescent="0.2">
      <c r="A6" s="17" t="s">
        <v>239</v>
      </c>
    </row>
    <row r="7" spans="1:1" ht="39.75" customHeight="1" x14ac:dyDescent="0.2">
      <c r="A7" s="17" t="s">
        <v>240</v>
      </c>
    </row>
    <row r="8" spans="1:1" ht="12" customHeight="1" x14ac:dyDescent="0.2">
      <c r="A8" s="17"/>
    </row>
    <row r="9" spans="1:1" ht="39.75" customHeight="1" x14ac:dyDescent="0.2">
      <c r="A9" s="16" t="s">
        <v>241</v>
      </c>
    </row>
    <row r="10" spans="1:1" ht="39.75" customHeight="1" x14ac:dyDescent="0.2">
      <c r="A10" s="17" t="s">
        <v>242</v>
      </c>
    </row>
    <row r="11" spans="1:1" ht="39.75" customHeight="1" x14ac:dyDescent="0.2">
      <c r="A11" s="17" t="s">
        <v>243</v>
      </c>
    </row>
    <row r="12" spans="1:1" ht="39.75" customHeight="1" x14ac:dyDescent="0.2">
      <c r="A12" s="17" t="s">
        <v>244</v>
      </c>
    </row>
    <row r="13" spans="1:1" ht="39.75" customHeight="1" x14ac:dyDescent="0.2">
      <c r="A13" s="17" t="s">
        <v>245</v>
      </c>
    </row>
    <row r="14" spans="1:1" ht="39.75" customHeight="1" x14ac:dyDescent="0.2">
      <c r="A14" s="17" t="s">
        <v>246</v>
      </c>
    </row>
    <row r="15" spans="1:1" ht="12" customHeight="1" x14ac:dyDescent="0.2">
      <c r="A15" s="17"/>
    </row>
    <row r="16" spans="1:1" ht="39.75" customHeight="1" x14ac:dyDescent="0.2">
      <c r="A16" s="16" t="s">
        <v>247</v>
      </c>
    </row>
    <row r="17" spans="1:1" ht="39.75" customHeight="1" x14ac:dyDescent="0.2">
      <c r="A17" s="17" t="s">
        <v>248</v>
      </c>
    </row>
    <row r="18" spans="1:1" ht="12" customHeight="1" x14ac:dyDescent="0.2">
      <c r="A18" s="17"/>
    </row>
    <row r="19" spans="1:1" ht="39.75" customHeight="1" x14ac:dyDescent="0.2">
      <c r="A19" s="17" t="s">
        <v>249</v>
      </c>
    </row>
    <row r="20" spans="1:1" ht="12" customHeight="1" x14ac:dyDescent="0.2">
      <c r="A20" s="17"/>
    </row>
    <row r="21" spans="1:1" ht="39.75" customHeight="1" x14ac:dyDescent="0.2">
      <c r="A21" s="17" t="s">
        <v>250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Master Consolidation</vt:lpstr>
      <vt:lpstr>Pillar Distribution</vt:lpstr>
      <vt:lpstr>SPMF Level Distribution</vt:lpstr>
      <vt:lpstr>QA Summary</vt:lpstr>
      <vt:lpstr>Duplicate Audit</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Rodrigo Oliveira</cp:lastModifiedBy>
  <cp:revision>0</cp:revision>
  <dcterms:created xsi:type="dcterms:W3CDTF">2026-04-20T16:10:47Z</dcterms:created>
  <dcterms:modified xsi:type="dcterms:W3CDTF">2026-04-20T22:32:31Z</dcterms:modified>
  <dc:language>en-US</dc:language>
</cp:coreProperties>
</file>