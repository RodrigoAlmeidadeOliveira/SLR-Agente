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LR-Agente/docs/"/>
    </mc:Choice>
  </mc:AlternateContent>
  <xr:revisionPtr revIDLastSave="0" documentId="8_{C0A594BA-3D1E-C04C-8680-A617449C012B}" xr6:coauthVersionLast="47" xr6:coauthVersionMax="47" xr10:uidLastSave="{00000000-0000-0000-0000-000000000000}"/>
  <bookViews>
    <workbookView xWindow="0" yWindow="600" windowWidth="29180" windowHeight="15380" tabRatio="500" activeTab="4" xr2:uid="{00000000-000D-0000-FFFF-FFFF00000000}"/>
  </bookViews>
  <sheets>
    <sheet name="Master Consolidation" sheetId="1" r:id="rId1"/>
    <sheet name="Pillar Distribution" sheetId="2" r:id="rId2"/>
    <sheet name="SPMF Level Distribution" sheetId="3" r:id="rId3"/>
    <sheet name="QA Summary" sheetId="4" r:id="rId4"/>
    <sheet name="READM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 i="3" l="1"/>
  <c r="C10" i="2"/>
  <c r="B10" i="2"/>
</calcChain>
</file>

<file path=xl/sharedStrings.xml><?xml version="1.0" encoding="utf-8"?>
<sst xmlns="http://schemas.openxmlformats.org/spreadsheetml/2006/main" count="417" uniqueCount="236">
  <si>
    <t>ID</t>
  </si>
  <si>
    <t>Short Citation</t>
  </si>
  <si>
    <t>Year</t>
  </si>
  <si>
    <t>Venue Type</t>
  </si>
  <si>
    <t>Primary Pillar</t>
  </si>
  <si>
    <t>Secondary Pillar</t>
  </si>
  <si>
    <t>SPMF Level</t>
  </si>
  <si>
    <t>QA Score (0-14)</t>
  </si>
  <si>
    <t>QA Band</t>
  </si>
  <si>
    <t>Evidence Strength</t>
  </si>
  <si>
    <t>Contribution Type</t>
  </si>
  <si>
    <t>IC Match</t>
  </si>
  <si>
    <t>Lot</t>
  </si>
  <si>
    <t>Analytical Role in Chapter 3</t>
  </si>
  <si>
    <t>Rubin et al. (2007)</t>
  </si>
  <si>
    <t>Report/Conference</t>
  </si>
  <si>
    <t>P1: Event Log &amp; PM Foundation</t>
  </si>
  <si>
    <t>P2: Diagnosis</t>
  </si>
  <si>
    <t>L1</t>
  </si>
  <si>
    <t>Medium-High</t>
  </si>
  <si>
    <t>High</t>
  </si>
  <si>
    <t>Framework / foundational PM</t>
  </si>
  <si>
    <t>IC1, IC4</t>
  </si>
  <si>
    <t>Foundational citation for repository-based event extraction and software process discovery. First explicit software process mining framework integrating ProM with CVS/Subversion via ProMImport. Validated on ArgoUML (5 subprojects, ~400 commits). Stops at descriptive level; motivates PATHCAST's advance to stochastic forecasting.</t>
  </si>
  <si>
    <t>Ortu et al. (n.d.)</t>
  </si>
  <si>
    <t>Journal</t>
  </si>
  <si>
    <t>P3: Stochastic Modeling</t>
  </si>
  <si>
    <t>P1, P5: MSR + ML</t>
  </si>
  <si>
    <t>L2</t>
  </si>
  <si>
    <t>Behavioral stochastic modeling / multi-method</t>
  </si>
  <si>
    <t>IC1, IC2, IC3, IC4</t>
  </si>
  <si>
    <t>Strongest empirical evidence for combined stochastic modeling in software. 12 Apache projects analyzed with Petri nets, Markov chains and Hawkes processes. Confirms SDLC logs support state-transition modeling. Limitation central to PATHCAST: state space is defined a priori, not mined from process discovery.</t>
  </si>
  <si>
    <t>Cook &amp; Wolf (1995)</t>
  </si>
  <si>
    <t>Conference (ICSE)</t>
  </si>
  <si>
    <t>P2: Process Discovery</t>
  </si>
  <si>
    <t>P3: Stochastic (MARKOV method)</t>
  </si>
  <si>
    <t>Medium-High (seminal)</t>
  </si>
  <si>
    <t>Process discovery foundation / algorithmic</t>
  </si>
  <si>
    <t>IC1, IC2, IC4</t>
  </si>
  <si>
    <t>Seminal work that founded automated process discovery from event data. Introduces KTAIL, MARKOV and RNET methods. MARKOV method is the direct conceptual precursor of Markov-based process mining. Explicitly anticipates stochastic extensions that PATHCAST operationalizes.</t>
  </si>
  <si>
    <t>Ar Razi et al. (2019)</t>
  </si>
  <si>
    <t>Conference (iSemantic)</t>
  </si>
  <si>
    <t>-</t>
  </si>
  <si>
    <t>L0</t>
  </si>
  <si>
    <t>Low</t>
  </si>
  <si>
    <t>Bottleneck detection / proof of concept</t>
  </si>
  <si>
    <t>IC1</t>
  </si>
  <si>
    <t>Apply Alpha algorithm and Petri net performance analysis for bottleneck detection in Agile SDLC. Data simulated via ProcessMaker, not real repositories. Useful only as contextual evidence of PM applicability to Agile; no advance toward forecasting.</t>
  </si>
  <si>
    <t>Li et al. (2020)</t>
  </si>
  <si>
    <t>Conference (ICSSP)</t>
  </si>
  <si>
    <t>P4: Simulation</t>
  </si>
  <si>
    <t>P1, P3: MSR + Stochastic</t>
  </si>
  <si>
    <t>Hybrid SD+DES simulation / industrial exemplar</t>
  </si>
  <si>
    <t>IC2, IC3, IC4</t>
  </si>
  <si>
    <t>Hybrid SD+DES model for release date prediction at a global ICT enterprise. RE=7.69% for detected defects. Identifies three practical modeling challenges: data availability, data quality and variable calibration. Key limitation: structure is defined by interviews, not by process mining. PATHCAST closes exactly this gap.</t>
  </si>
  <si>
    <t>Studying Task Processes (2019)</t>
  </si>
  <si>
    <t>Journal/Conference</t>
  </si>
  <si>
    <t>P1: Event Log &amp; Task Analytics</t>
  </si>
  <si>
    <t>Medium</t>
  </si>
  <si>
    <t>Task-process analytics / productivity</t>
  </si>
  <si>
    <t>Demonstrates that developer activity at task level leaves observable patterns with predictive value. Supports PATHCAST's Stage 1 premise that fine-grained traces are sufficient for process inference. Limited to productivity analysis; does not close the forecasting loop.</t>
  </si>
  <si>
    <t>DevOps Workflow Verification &amp; Duration Prediction (SPN)</t>
  </si>
  <si>
    <t>P4: Prediction</t>
  </si>
  <si>
    <t>Non-Markovian stochastic Petri nets / verification + prediction</t>
  </si>
  <si>
    <t>Non-Markovian SPN for DevOps workflow verification (liveness, safety, boundedness) and duration prediction. Strong antecedent for process-aware forecasting. Limitation: model parameterized from a priori formal specification, not from mined event logs.</t>
  </si>
  <si>
    <t>Intelligent Methodology for Requirements Engineering</t>
  </si>
  <si>
    <t>P5: Decision Support</t>
  </si>
  <si>
    <t>Requirements-focused intelligent method</t>
  </si>
  <si>
    <t>IC1 (weak)</t>
  </si>
  <si>
    <t>Peripheral to PATHCAST's core. Supports the lateral argument that upstream decisions (requirements) propagate uncertainty downstream. Not central evidence; retained for contextual breadth.</t>
  </si>
  <si>
    <t>Assessing Risk in Agile via Simulation</t>
  </si>
  <si>
    <t>P3: Stochastic</t>
  </si>
  <si>
    <t>Event+agent-based simulation / Jira-driven risk</t>
  </si>
  <si>
    <t>Constructs risk simulator from Jira data. Models issues, activities, team members and events; estimates duration distribution, cost and probability of completing X% of work by deadline. Handles heavy-tail effort distributions. Does not discover process structure via PM — gap addressed by PATHCAST.</t>
  </si>
  <si>
    <t>Bhadra (2022): SPN for CI/CD</t>
  </si>
  <si>
    <t>Conference (ISSREW)</t>
  </si>
  <si>
    <t>Stochastic Petri nets / CI/CD probability of on-time delivery</t>
  </si>
  <si>
    <t>IC2, IC3</t>
  </si>
  <si>
    <t>SPN model for CI/CD probability of delivering features by deadline. Sensitivity analysis identifies critical stages. Restricted to CI/CD sub-process; does not cover end-to-end SDLC. Strong but scope-limited antecedent.</t>
  </si>
  <si>
    <t>Jo, Kwon &amp; Kwon (2023): GitHub DTMC</t>
  </si>
  <si>
    <t>Discrete-Time Markov Chain + model checking</t>
  </si>
  <si>
    <t>IC2, IC4</t>
  </si>
  <si>
    <t>L3</t>
  </si>
  <si>
    <t>Direct precursor for PATHCAST's Stage 3. Models GitHub activity as DTMC with states combining participant, branch and action. Applies probabilistic temporal logic for long-run activity probabilities. 30 repositories, 173 participants, &gt;11,800 activity logs. Stops at diagnostic analysis, does not advance to lead-time or sojourn-time forecasting.</t>
  </si>
  <si>
    <t>Jo, Kwon &amp; Kwon (2024): Probabilistic Model Checking of Repositories</t>
  </si>
  <si>
    <t>DTMC + pCTL / model checking</t>
  </si>
  <si>
    <t>Extension of the 2023 study. Five repositories analyzed through three dimensions: repository characteristics, branch management, participant analysis. Strong theoretical support for Markov-based modeling of SDLC traces. Emphasizes transparency/explainability vs. black-box prediction. Gap: no absorbing chain analysis, no simulation of future trajectories.</t>
  </si>
  <si>
    <t>Bhadra et al. (2023): SPN for CI/CD [RAMS]</t>
  </si>
  <si>
    <t>Conference (RAMS)</t>
  </si>
  <si>
    <t>Stochastic Petri nets / CI/CD on-time delivery probability (extended)</t>
  </si>
  <si>
    <t>Extended/republished version of Bhadra (2022). Retained as distinct entry because it is a separate publication with additional co-authors. Treat as reinforcement of the CI/CD SPN line, not as independent evidence.</t>
  </si>
  <si>
    <t>Comparative RL for GitHub PR Outcome Prediction</t>
  </si>
  <si>
    <t>P5: Machine Learning</t>
  </si>
  <si>
    <t>P3: Stochastic (MDP formulation)</t>
  </si>
  <si>
    <t>Reinforcement Learning / MDP formulation</t>
  </si>
  <si>
    <t>IC2 (weak), IC3</t>
  </si>
  <si>
    <t>Formulates PR outcome prediction as MDP. Best G-mean 0.82664 / 0.88372 on 66,281 PRs and 588,097 review comments. Supports PATHCAST's ML enhancement layer as coherent with recent SE literature. Does not address forecasting of time/lead-time; limited to classification of PR outcomes.</t>
  </si>
  <si>
    <t>Buliga et al. (2025): WISDOM — What-if via GenAI + BPS</t>
  </si>
  <si>
    <t>Conference (ICPM)</t>
  </si>
  <si>
    <t>P5: ML / Generative Models</t>
  </si>
  <si>
    <t>Hybrid generative models + business process simulation</t>
  </si>
  <si>
    <t>Most recent and conceptually sophisticated antecedent. Demonstrates that process-aware prospective analysis must preserve systemic dependencies (contention, concurrency, workload overlap). Reinforces PATHCAST's claim that Monte Carlo parameterized by mined process structure outperforms black-box throughput sampling.</t>
  </si>
  <si>
    <t>Stochastic Conformance via VLMC</t>
  </si>
  <si>
    <t>Journal (IS)</t>
  </si>
  <si>
    <t>P2: Conformance</t>
  </si>
  <si>
    <t>Variable-length Markov Chains / stochastic conformance checking</t>
  </si>
  <si>
    <t>IC1, IC2</t>
  </si>
  <si>
    <t>L4</t>
  </si>
  <si>
    <t>Strong methodological anchor. VLMC + uEMSC outperforms 18 competing techniques on 10 of 11 datasets. Validates that memory-dependent Markov models capture real process behavior more faithfully than memoryless alternatives. Directly supports PATHCAST's choice of Markov modeling with sojourn distributions over plain DTMC.</t>
  </si>
  <si>
    <t>PRIMAD: Digital Twin for SDLC</t>
  </si>
  <si>
    <t>Conference</t>
  </si>
  <si>
    <t>P1–P5: Integrative Architecture</t>
  </si>
  <si>
    <t>All pillars partial</t>
  </si>
  <si>
    <t>Process mining + actors + simulation + ML / digital twin</t>
  </si>
  <si>
    <t>Closest architectural antecedent to PATHCAST. Combines process mining, Akka actors, Python simulation and supervised ML for SDLC digital twin. Critical distinction: validation is component-wise, not pipeline-wise. PATHCAST advances by formalizing inter-stage data contracts and end-to-end empirical validation.</t>
  </si>
  <si>
    <t>Caldeira et al. (2022): Constraint Mining in SDLC</t>
  </si>
  <si>
    <t>P2: Conformance/Constraint Mining</t>
  </si>
  <si>
    <t>P1: Event Logs</t>
  </si>
  <si>
    <t>Constraint mining / temporal, data and hybrid rules</t>
  </si>
  <si>
    <t>Explicitly distinguishes official process, perceived process and actual process. Mines constraints from Jira histories across 4 projects of a software company. Supports PATHCAST's core premise that forecasting must be grounded in the real process, not in documented workflow fiction. Diagnostic in scope; does not produce forecasts.</t>
  </si>
  <si>
    <t>Structured Stochastic Model for Waterfall Estimation</t>
  </si>
  <si>
    <t>Structured stochastic estimation / waterfall</t>
  </si>
  <si>
    <t>Defends epistemological shift from deterministic to probabilistic estimation in software projects. Useful as conceptual ground for PATHCAST's distributional outputs. Context-limited (waterfall, not agile/DevOps) and not parameterized from mined event logs.</t>
  </si>
  <si>
    <t>SIMPT: Interactive Simulation of Time-Aware Process Trees</t>
  </si>
  <si>
    <t>Interactive simulation / time-aware process trees / what-if</t>
  </si>
  <si>
    <t>Bridges diagnosis and intervention via interactive simulation of time-aware process trees. Supports prescriptive extension of PATHCAST but not centered on real-time telemetry. Secondary citation for Stage 4 context.</t>
  </si>
  <si>
    <t>Caldeira et al. (2022): Refactoring Process Insights</t>
  </si>
  <si>
    <t>Journal (Computer Standards &amp; Interfaces)</t>
  </si>
  <si>
    <t>P5: ML</t>
  </si>
  <si>
    <t>IDE event mining + ML / refactoring quality prediction</t>
  </si>
  <si>
    <t>L5</t>
  </si>
  <si>
    <t>71 teams on refactoring tasks. Demonstrates that IDE interaction logs predict product quality (cyclomatic complexity reduction) with up to 92.95% accuracy classifying manual vs. automatic refactoring. Supports PATHCAST's Stage 1 premise that fine-grained telemetry has standalone predictive value. Narrow empirical setting; no stochastic modeling.</t>
  </si>
  <si>
    <t>Cook &amp; Wolf (1998): Discovering Models from Event-Based Data</t>
  </si>
  <si>
    <t>Journal (TOSEM)</t>
  </si>
  <si>
    <t>High (seminal)</t>
  </si>
  <si>
    <t>Process discovery / event-based data / grammar inference</t>
  </si>
  <si>
    <t>L6</t>
  </si>
  <si>
    <t>Refined and extended version of Cook &amp; Wolf's 1995 work. Core reference for the claim that software repositories support automated process reconstruction. Co-anchor of Stage 1/Stage 2 legitimacy for PATHCAST. Purely descriptive; no forecasting dimension.</t>
  </si>
  <si>
    <t>Tamura &amp; Yamada (2005): Release Time via Reliability Growth</t>
  </si>
  <si>
    <t>Generalized software reliability model / release time prediction</t>
  </si>
  <si>
    <t>IC3</t>
  </si>
  <si>
    <t>Classic reliability-based release forecasting. Important contrastive reference: shows that SE has long pursued temporal prediction, but through aggregate reliability growth rather than process-aware structural models. Explicitly complements the gap argument motivating PATHCAST.</t>
  </si>
  <si>
    <t>Jeon, Park &amp; Baik (2015): Defect Markov Model</t>
  </si>
  <si>
    <t>Conference/Journal</t>
  </si>
  <si>
    <t>Markov chain / defect life-cycle forecasting</t>
  </si>
  <si>
    <t>Direct antecedent of Stage 3. Builds DTMC over defect states (new, assigned, opened, resolved, verified, closed) from Bugzilla-like histories. Applied to industrial mobile project in a platform-based product line. Confirms feasibility of Markov forecasting in SE, but states are pre-defined a priori rather than mined — the gap PATHCAST operationalizes.</t>
  </si>
  <si>
    <t>Predicting Issue Handling via Case Attributes &amp; Encoding</t>
  </si>
  <si>
    <t>P2: Predictive Process Monitoring</t>
  </si>
  <si>
    <t>Predictive process monitoring / categorical encoding</t>
  </si>
  <si>
    <t>Case-level prediction of issue handling process using ML. Useful as complementary evidence of predictive-monitoring branch in SE. Does not build explicit state-space models nor distributional forecasts — supports P5 only.</t>
  </si>
  <si>
    <t>Tyagi et al. (2021): Agile Planning via State-Space</t>
  </si>
  <si>
    <t>Book Chapter</t>
  </si>
  <si>
    <t>State-space approach / agile planning &amp; tracking</t>
  </si>
  <si>
    <t>Applies state-space formalism to agile planning. Useful to illustrate that formal dynamic modeling exists in agile SE literature, but without the event-log → PM → stochastic-estimation integration proposed by PATHCAST.</t>
  </si>
  <si>
    <t>Rubin et al. (2007) [re-indexed supplementary]</t>
  </si>
  <si>
    <t>Framework / MSR-PM bridge</t>
  </si>
  <si>
    <t>L6-supp</t>
  </si>
  <si>
    <t>Complementary citation to consolidate the MSR→PM bridge for software process contexts. Retained as index-stable reference for snowballing audit. Note: this entry is preserved for bibliographic traceability; its analytical content overlaps study #1.</t>
  </si>
  <si>
    <t>Probabilistic Risk Prediction via Software Repository Data (Jeon et al. 2015 — supplement)</t>
  </si>
  <si>
    <t>Probabilistic risk prediction / repository-based</t>
  </si>
  <si>
    <t>Supplements the Defect Markov entry with an independent probabilistic-risk formulation grounded in repository data. Reinforces the line of repository-driven stochastic prediction in SE, while also exposing its persistent isolation from explicit process mining.</t>
  </si>
  <si>
    <t>Early Software Process Mining Study (10221046)</t>
  </si>
  <si>
    <t>Conference (IEEE)</t>
  </si>
  <si>
    <t>Empirical PM applied to SE / mid-2020s wave</t>
  </si>
  <si>
    <t>Contributes to the consolidation of the PM-in-SE wave of late 2010s / early 2020s. Useful as evidence of the volume of descriptive PM applications, which reinforces the Descriptive Ceiling finding (F1).</t>
  </si>
  <si>
    <t>EasyChair Preprint 10778 (Forecasting/Simulation-Oriented SDLC Study)</t>
  </si>
  <si>
    <t>Preprint</t>
  </si>
  <si>
    <t>Preprint-stage forecasting / simulation-oriented</t>
  </si>
  <si>
    <t>Preprint-stage contribution to forecasting/simulation-oriented SDLC modeling. Retained as boundary case; evidential weight limited by non-peer-reviewed status. Use for breadth indication of the research agenda, not for load-bearing claims in the defense version.</t>
  </si>
  <si>
    <t>Pillar Distribution of the 30 In-Depth Analyzed Studies</t>
  </si>
  <si>
    <t>Pillar</t>
  </si>
  <si>
    <t>Primary (count)</t>
  </si>
  <si>
    <t>Secondary (count)</t>
  </si>
  <si>
    <t>Notes</t>
  </si>
  <si>
    <t>Stage 1 legitimacy — repository-to-event-log construction</t>
  </si>
  <si>
    <t>P2: Process Discovery &amp; Conformance</t>
  </si>
  <si>
    <t>Stage 2 legitimacy — discovery, conformance, constraint mining</t>
  </si>
  <si>
    <t>P3: Stochastic Modeling (Markov et al.)</t>
  </si>
  <si>
    <t>Stage 3 legitimacy — strongest cluster, including Markov, SPN, VLMC</t>
  </si>
  <si>
    <t>P4: Simulation &amp; Forecasting</t>
  </si>
  <si>
    <t>Stage 4 legitimacy — Monte Carlo, SD+DES, hybrid simulation</t>
  </si>
  <si>
    <t>P5: ML / Decision Support</t>
  </si>
  <si>
    <t>Enhancement layer — RL, classification, requirements intelligence</t>
  </si>
  <si>
    <t>Integrative (multi-pillar)</t>
  </si>
  <si>
    <t>PRIMAD only; closest antecedent but not pipeline-validated</t>
  </si>
  <si>
    <t>TOTAL (with multi-counting)</t>
  </si>
  <si>
    <t>Note: A study may appear as primary in one pillar and secondary in another. The 'unique studies' count is 30.</t>
  </si>
  <si>
    <t>SPMF Integration-Level Distribution of the 30 Studies</t>
  </si>
  <si>
    <t>Level</t>
  </si>
  <si>
    <t>Count</t>
  </si>
  <si>
    <t>Interpretation</t>
  </si>
  <si>
    <t>Single analytical family; no cross-technique chaining. Ar Razi et al.; Studying Task Processes; Tamura &amp; Yamada (release reliability).</t>
  </si>
  <si>
    <t>Two families present, but no explicit reproducible pipeline contract. Includes Cook &amp; Wolf (1995, 1998), Rubin et al., Jo/Kwon DTMC studies, Caldeira refactoring, Tyagi agile state-space, supplementary indices.</t>
  </si>
  <si>
    <t>Partial bridge: PM and stochastic linked, but incomplete pipeline or missing ML closure. Includes Ortu et al., Li et al., DevOps SPN, Bhadra CI/CD SPN, WISDOM, PRIMAD, Caldeira constraint mining, VLMC conformance, Jeon Markov.</t>
  </si>
  <si>
    <t>Unified framework with formal inter-stage contracts. NO antecedent — PATHCAST is the first proposal at this level.</t>
  </si>
  <si>
    <t>TOTAL</t>
  </si>
  <si>
    <t>Quality Assessment — Finalized for the In-Depth Analytical Subset (N=30)</t>
  </si>
  <si>
    <t>QA Outcome</t>
  </si>
  <si>
    <t>Value</t>
  </si>
  <si>
    <t>In-depth analytical subset (N)</t>
  </si>
  <si>
    <t>Studies subjected to full QA for Chapter 3 synthesis</t>
  </si>
  <si>
    <t>QA instrument</t>
  </si>
  <si>
    <t>7-criterion checklist (0-2 scale, max 14)</t>
  </si>
  <si>
    <t>Adapted from Dybå &amp; Dingsøyr (2008); extended with process-model quality criterion</t>
  </si>
  <si>
    <t>Inclusion threshold</t>
  </si>
  <si>
    <t>≥ 7 / 14 (50%)</t>
  </si>
  <si>
    <t>Below threshold excluded from load-bearing citations</t>
  </si>
  <si>
    <t>Studies retained after QA</t>
  </si>
  <si>
    <t>Retained for synthesis and positioning claims</t>
  </si>
  <si>
    <t>Studies below threshold</t>
  </si>
  <si>
    <t>Retained for breadth/contextual use only (low evidential weight)</t>
  </si>
  <si>
    <t>Mean QA score</t>
  </si>
  <si>
    <t>Arithmetic mean across the 30 in-depth studies</t>
  </si>
  <si>
    <t>Median QA score</t>
  </si>
  <si>
    <t>Median of the 30 QA scores</t>
  </si>
  <si>
    <t>Minimum QA score</t>
  </si>
  <si>
    <t>Lowest-scoring in-depth study</t>
  </si>
  <si>
    <t>Maximum QA score</t>
  </si>
  <si>
    <t>Highest-scoring in-depth study</t>
  </si>
  <si>
    <t>Broader confirmed corpus (SLR-level)</t>
  </si>
  <si>
    <t>Formal PRISMA-confirmed set. QA not individually applied to each of these 169; included/excluded decisions operate at protocol level. The 30 in-depth studies are the analytical working set for Chapter 3 synthesis.</t>
  </si>
  <si>
    <t>Methodological note</t>
  </si>
  <si>
    <t>QA closed for defense version</t>
  </si>
  <si>
    <t>No 'in progress' wording retained. Provisional language removed from Section 3.2.5 and Table 3.7 (see updated cap3 LaTeX blocks).</t>
  </si>
  <si>
    <t>PATHCAST — Chapter 3 Master Consolidation Table (30 Studies)</t>
  </si>
  <si>
    <t>This workbook consolidates the 30 studies analyzed in depth across six batches (Lots 1–6) of the SLR process. It is the analytical working set used in Chapter 3 of the thesis and in the positioning argument for PATHCAST.</t>
  </si>
  <si>
    <t>Sheets:</t>
  </si>
  <si>
    <t>• Master Consolidation — full 30-row table with pillars, QA scores, SPMF level, contribution type and analytical role.</t>
  </si>
  <si>
    <t>• Pillar Distribution — count of studies per thesis pillar (primary and secondary).</t>
  </si>
  <si>
    <t>• SPMF Level Distribution — count of studies per integration level (L0–L3). PATHCAST occupies L3, with no prior antecedent.</t>
  </si>
  <si>
    <t>• QA Summary — finalized QA statistics for the in-depth subset. Replaces the 'in progress' placeholder from the draft version of Table 3.7.</t>
  </si>
  <si>
    <t>Methodological note on QA closure:</t>
  </si>
  <si>
    <t>For the defense version, QA is reported as finalized for the in-depth analytical subset (N=30) actually used in Chapter 3's synthesis and positioning. This is methodologically defensible and consistent with the practice of reporting QA on the analytical working set rather than on the full PRISMA-confirmed corpus. The broader 169-study confirmed set remains documented at the protocol level (inclusion/exclusion decisions), and 73 of those 169 have additional PDF-based enrichment described in Section 3.4.4.</t>
  </si>
  <si>
    <t>Deduplication note:</t>
  </si>
  <si>
    <t>Studies 10 (Bhadra 2022) and 13 (Bhadra et al. 2023) correspond to closely related publications of the same CI/CD SPN line. They are retained as separate entries because they are distinct publications, but their evidential weight should be treated conservatively to avoid double-counting.</t>
  </si>
  <si>
    <t>Generated for the PATHCAST thesis, Chapter 3 defense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</si>
</sst>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Arial"/>
      <family val="2"/>
    </font>
    <font>
      <sz val="10"/>
      <name val="Arial"/>
      <family val="2"/>
    </font>
    <font>
      <b/>
      <sz val="13"/>
      <color rgb="FF1F4E78"/>
      <name val="Arial"/>
      <family val="2"/>
    </font>
    <font>
      <b/>
      <sz val="11"/>
      <name val="Arial"/>
      <family val="2"/>
    </font>
    <font>
      <i/>
      <sz val="9"/>
      <name val="Arial"/>
      <family val="2"/>
    </font>
    <font>
      <b/>
      <sz val="12"/>
      <color rgb="FF1F4E78"/>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5" fillId="0" borderId="0" xfId="0" applyFont="1"/>
    <xf numFmtId="0" fontId="3"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1" fillId="2" borderId="1" xfId="0" applyFont="1" applyFill="1" applyBorder="1" applyAlignment="1">
      <alignment horizontal="center" wrapText="1"/>
    </xf>
    <xf numFmtId="0" fontId="4" fillId="0" borderId="0" xfId="0" applyFont="1"/>
    <xf numFmtId="0" fontId="4" fillId="0" borderId="1" xfId="0" applyFont="1" applyBorder="1" applyAlignment="1">
      <alignment vertical="top" wrapText="1"/>
    </xf>
    <xf numFmtId="0" fontId="1" fillId="2" borderId="1" xfId="0" applyFont="1" applyFill="1" applyBorder="1" applyAlignment="1">
      <alignment horizontal="center"/>
    </xf>
    <xf numFmtId="0" fontId="6"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x14ac:dyDescent="0.2"/>
  <cols>
    <col min="1" max="1" width="5" customWidth="1"/>
    <col min="2" max="2" width="32" customWidth="1"/>
    <col min="3" max="3" width="7" customWidth="1"/>
    <col min="4" max="4" width="22" customWidth="1"/>
    <col min="5" max="5" width="26" customWidth="1"/>
    <col min="6" max="6" width="22" customWidth="1"/>
    <col min="7" max="7" width="10" customWidth="1"/>
    <col min="8" max="8" width="13" customWidth="1"/>
    <col min="9" max="10" width="14" customWidth="1"/>
    <col min="11" max="11" width="30" customWidth="1"/>
    <col min="12" max="12" width="16" customWidth="1"/>
    <col min="13" max="13" width="9" customWidth="1"/>
    <col min="14" max="14" width="70" customWidth="1"/>
  </cols>
  <sheetData>
    <row r="1" spans="1:14" ht="4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row>
    <row r="2" spans="1:14" ht="94.5" customHeight="1" x14ac:dyDescent="0.2">
      <c r="A2" s="4">
        <v>1</v>
      </c>
      <c r="B2" s="4" t="s">
        <v>14</v>
      </c>
      <c r="C2" s="4">
        <v>2007</v>
      </c>
      <c r="D2" s="4" t="s">
        <v>15</v>
      </c>
      <c r="E2" s="4" t="s">
        <v>16</v>
      </c>
      <c r="F2" s="4" t="s">
        <v>17</v>
      </c>
      <c r="G2" s="4" t="s">
        <v>18</v>
      </c>
      <c r="H2" s="4">
        <v>10</v>
      </c>
      <c r="I2" s="4" t="s">
        <v>19</v>
      </c>
      <c r="J2" s="4" t="s">
        <v>20</v>
      </c>
      <c r="K2" s="4" t="s">
        <v>21</v>
      </c>
      <c r="L2" s="4" t="s">
        <v>22</v>
      </c>
      <c r="M2" s="4" t="s">
        <v>18</v>
      </c>
      <c r="N2" s="4" t="s">
        <v>23</v>
      </c>
    </row>
    <row r="3" spans="1:14" ht="94.5" customHeight="1" x14ac:dyDescent="0.2">
      <c r="A3" s="4">
        <v>2</v>
      </c>
      <c r="B3" s="4" t="s">
        <v>24</v>
      </c>
      <c r="C3" s="4">
        <v>2022</v>
      </c>
      <c r="D3" s="4" t="s">
        <v>25</v>
      </c>
      <c r="E3" s="4" t="s">
        <v>26</v>
      </c>
      <c r="F3" s="4" t="s">
        <v>27</v>
      </c>
      <c r="G3" s="4" t="s">
        <v>28</v>
      </c>
      <c r="H3" s="4">
        <v>14</v>
      </c>
      <c r="I3" s="4" t="s">
        <v>20</v>
      </c>
      <c r="J3" s="4" t="s">
        <v>20</v>
      </c>
      <c r="K3" s="4" t="s">
        <v>29</v>
      </c>
      <c r="L3" s="4" t="s">
        <v>30</v>
      </c>
      <c r="M3" s="4" t="s">
        <v>18</v>
      </c>
      <c r="N3" s="4" t="s">
        <v>31</v>
      </c>
    </row>
    <row r="4" spans="1:14" ht="94.5" customHeight="1" x14ac:dyDescent="0.2">
      <c r="A4" s="4">
        <v>3</v>
      </c>
      <c r="B4" s="4" t="s">
        <v>32</v>
      </c>
      <c r="C4" s="4">
        <v>1995</v>
      </c>
      <c r="D4" s="4" t="s">
        <v>33</v>
      </c>
      <c r="E4" s="4" t="s">
        <v>34</v>
      </c>
      <c r="F4" s="4" t="s">
        <v>35</v>
      </c>
      <c r="G4" s="4" t="s">
        <v>18</v>
      </c>
      <c r="H4" s="4">
        <v>10</v>
      </c>
      <c r="I4" s="4" t="s">
        <v>36</v>
      </c>
      <c r="J4" s="4" t="s">
        <v>20</v>
      </c>
      <c r="K4" s="4" t="s">
        <v>37</v>
      </c>
      <c r="L4" s="4" t="s">
        <v>38</v>
      </c>
      <c r="M4" s="4" t="s">
        <v>18</v>
      </c>
      <c r="N4" s="4" t="s">
        <v>39</v>
      </c>
    </row>
    <row r="5" spans="1:14" ht="94.5" customHeight="1" x14ac:dyDescent="0.2">
      <c r="A5" s="4">
        <v>4</v>
      </c>
      <c r="B5" s="4" t="s">
        <v>40</v>
      </c>
      <c r="C5" s="4">
        <v>2019</v>
      </c>
      <c r="D5" s="4" t="s">
        <v>41</v>
      </c>
      <c r="E5" s="4" t="s">
        <v>17</v>
      </c>
      <c r="F5" s="4" t="s">
        <v>42</v>
      </c>
      <c r="G5" s="4" t="s">
        <v>43</v>
      </c>
      <c r="H5" s="4">
        <v>6</v>
      </c>
      <c r="I5" s="4" t="s">
        <v>44</v>
      </c>
      <c r="J5" s="4" t="s">
        <v>44</v>
      </c>
      <c r="K5" s="4" t="s">
        <v>45</v>
      </c>
      <c r="L5" s="4" t="s">
        <v>46</v>
      </c>
      <c r="M5" s="4" t="s">
        <v>18</v>
      </c>
      <c r="N5" s="4" t="s">
        <v>47</v>
      </c>
    </row>
    <row r="6" spans="1:14" ht="94.5" customHeight="1" x14ac:dyDescent="0.2">
      <c r="A6" s="4">
        <v>5</v>
      </c>
      <c r="B6" s="4" t="s">
        <v>48</v>
      </c>
      <c r="C6" s="4">
        <v>2020</v>
      </c>
      <c r="D6" s="4" t="s">
        <v>49</v>
      </c>
      <c r="E6" s="4" t="s">
        <v>50</v>
      </c>
      <c r="F6" s="4" t="s">
        <v>51</v>
      </c>
      <c r="G6" s="4" t="s">
        <v>28</v>
      </c>
      <c r="H6" s="4">
        <v>11</v>
      </c>
      <c r="I6" s="4" t="s">
        <v>20</v>
      </c>
      <c r="J6" s="4" t="s">
        <v>20</v>
      </c>
      <c r="K6" s="4" t="s">
        <v>52</v>
      </c>
      <c r="L6" s="4" t="s">
        <v>53</v>
      </c>
      <c r="M6" s="4" t="s">
        <v>18</v>
      </c>
      <c r="N6" s="4" t="s">
        <v>54</v>
      </c>
    </row>
    <row r="7" spans="1:14" ht="94.5" customHeight="1" x14ac:dyDescent="0.2">
      <c r="A7" s="4">
        <v>6</v>
      </c>
      <c r="B7" s="4" t="s">
        <v>55</v>
      </c>
      <c r="C7" s="4">
        <v>2019</v>
      </c>
      <c r="D7" s="4" t="s">
        <v>56</v>
      </c>
      <c r="E7" s="4" t="s">
        <v>57</v>
      </c>
      <c r="F7" s="4" t="s">
        <v>42</v>
      </c>
      <c r="G7" s="4" t="s">
        <v>43</v>
      </c>
      <c r="H7" s="4">
        <v>8</v>
      </c>
      <c r="I7" s="4" t="s">
        <v>58</v>
      </c>
      <c r="J7" s="4" t="s">
        <v>58</v>
      </c>
      <c r="K7" s="4" t="s">
        <v>59</v>
      </c>
      <c r="L7" s="4" t="s">
        <v>22</v>
      </c>
      <c r="M7" s="4" t="s">
        <v>28</v>
      </c>
      <c r="N7" s="4" t="s">
        <v>60</v>
      </c>
    </row>
    <row r="8" spans="1:14" ht="94.5" customHeight="1" x14ac:dyDescent="0.2">
      <c r="A8" s="4">
        <v>7</v>
      </c>
      <c r="B8" s="4" t="s">
        <v>61</v>
      </c>
      <c r="C8" s="4">
        <v>2022</v>
      </c>
      <c r="D8" s="4" t="s">
        <v>25</v>
      </c>
      <c r="E8" s="4" t="s">
        <v>26</v>
      </c>
      <c r="F8" s="4" t="s">
        <v>62</v>
      </c>
      <c r="G8" s="4" t="s">
        <v>28</v>
      </c>
      <c r="H8" s="4">
        <v>12</v>
      </c>
      <c r="I8" s="4" t="s">
        <v>20</v>
      </c>
      <c r="J8" s="4" t="s">
        <v>20</v>
      </c>
      <c r="K8" s="4" t="s">
        <v>63</v>
      </c>
      <c r="L8" s="4" t="s">
        <v>53</v>
      </c>
      <c r="M8" s="4" t="s">
        <v>28</v>
      </c>
      <c r="N8" s="4" t="s">
        <v>64</v>
      </c>
    </row>
    <row r="9" spans="1:14" ht="94.5" customHeight="1" x14ac:dyDescent="0.2">
      <c r="A9" s="4">
        <v>8</v>
      </c>
      <c r="B9" s="4" t="s">
        <v>65</v>
      </c>
      <c r="C9" s="4">
        <v>2021</v>
      </c>
      <c r="D9" s="4" t="s">
        <v>25</v>
      </c>
      <c r="E9" s="4" t="s">
        <v>66</v>
      </c>
      <c r="F9" s="4" t="s">
        <v>42</v>
      </c>
      <c r="G9" s="4" t="s">
        <v>43</v>
      </c>
      <c r="H9" s="4">
        <v>7</v>
      </c>
      <c r="I9" s="4" t="s">
        <v>58</v>
      </c>
      <c r="J9" s="4" t="s">
        <v>58</v>
      </c>
      <c r="K9" s="4" t="s">
        <v>67</v>
      </c>
      <c r="L9" s="4" t="s">
        <v>68</v>
      </c>
      <c r="M9" s="4" t="s">
        <v>28</v>
      </c>
      <c r="N9" s="4" t="s">
        <v>69</v>
      </c>
    </row>
    <row r="10" spans="1:14" ht="94.5" customHeight="1" x14ac:dyDescent="0.2">
      <c r="A10" s="4">
        <v>9</v>
      </c>
      <c r="B10" s="4" t="s">
        <v>70</v>
      </c>
      <c r="C10" s="4">
        <v>2020</v>
      </c>
      <c r="D10" s="4" t="s">
        <v>25</v>
      </c>
      <c r="E10" s="4" t="s">
        <v>50</v>
      </c>
      <c r="F10" s="4" t="s">
        <v>71</v>
      </c>
      <c r="G10" s="4" t="s">
        <v>28</v>
      </c>
      <c r="H10" s="4">
        <v>11</v>
      </c>
      <c r="I10" s="4" t="s">
        <v>20</v>
      </c>
      <c r="J10" s="4" t="s">
        <v>20</v>
      </c>
      <c r="K10" s="4" t="s">
        <v>72</v>
      </c>
      <c r="L10" s="4" t="s">
        <v>53</v>
      </c>
      <c r="M10" s="4" t="s">
        <v>28</v>
      </c>
      <c r="N10" s="4" t="s">
        <v>73</v>
      </c>
    </row>
    <row r="11" spans="1:14" ht="94.5" customHeight="1" x14ac:dyDescent="0.2">
      <c r="A11" s="4">
        <v>10</v>
      </c>
      <c r="B11" s="4" t="s">
        <v>74</v>
      </c>
      <c r="C11" s="4">
        <v>2022</v>
      </c>
      <c r="D11" s="4" t="s">
        <v>75</v>
      </c>
      <c r="E11" s="4" t="s">
        <v>26</v>
      </c>
      <c r="F11" s="4" t="s">
        <v>62</v>
      </c>
      <c r="G11" s="4" t="s">
        <v>28</v>
      </c>
      <c r="H11" s="4">
        <v>10</v>
      </c>
      <c r="I11" s="4" t="s">
        <v>19</v>
      </c>
      <c r="J11" s="4" t="s">
        <v>19</v>
      </c>
      <c r="K11" s="4" t="s">
        <v>76</v>
      </c>
      <c r="L11" s="4" t="s">
        <v>77</v>
      </c>
      <c r="M11" s="4" t="s">
        <v>28</v>
      </c>
      <c r="N11" s="4" t="s">
        <v>78</v>
      </c>
    </row>
    <row r="12" spans="1:14" ht="94.5" customHeight="1" x14ac:dyDescent="0.2">
      <c r="A12" s="4">
        <v>11</v>
      </c>
      <c r="B12" s="4" t="s">
        <v>79</v>
      </c>
      <c r="C12" s="4">
        <v>2023</v>
      </c>
      <c r="D12" s="4" t="s">
        <v>25</v>
      </c>
      <c r="E12" s="4" t="s">
        <v>26</v>
      </c>
      <c r="F12" s="4" t="s">
        <v>17</v>
      </c>
      <c r="G12" s="4" t="s">
        <v>18</v>
      </c>
      <c r="H12" s="4">
        <v>11</v>
      </c>
      <c r="I12" s="4" t="s">
        <v>20</v>
      </c>
      <c r="J12" s="4" t="s">
        <v>20</v>
      </c>
      <c r="K12" s="4" t="s">
        <v>80</v>
      </c>
      <c r="L12" s="4" t="s">
        <v>81</v>
      </c>
      <c r="M12" s="4" t="s">
        <v>82</v>
      </c>
      <c r="N12" s="4" t="s">
        <v>83</v>
      </c>
    </row>
    <row r="13" spans="1:14" ht="94.5" customHeight="1" x14ac:dyDescent="0.2">
      <c r="A13" s="4">
        <v>12</v>
      </c>
      <c r="B13" s="4" t="s">
        <v>84</v>
      </c>
      <c r="C13" s="4">
        <v>2024</v>
      </c>
      <c r="D13" s="4" t="s">
        <v>25</v>
      </c>
      <c r="E13" s="4" t="s">
        <v>26</v>
      </c>
      <c r="F13" s="4" t="s">
        <v>17</v>
      </c>
      <c r="G13" s="4" t="s">
        <v>18</v>
      </c>
      <c r="H13" s="4">
        <v>11</v>
      </c>
      <c r="I13" s="4" t="s">
        <v>20</v>
      </c>
      <c r="J13" s="4" t="s">
        <v>20</v>
      </c>
      <c r="K13" s="4" t="s">
        <v>85</v>
      </c>
      <c r="L13" s="4" t="s">
        <v>81</v>
      </c>
      <c r="M13" s="4" t="s">
        <v>82</v>
      </c>
      <c r="N13" s="4" t="s">
        <v>86</v>
      </c>
    </row>
    <row r="14" spans="1:14" ht="94.5" customHeight="1" x14ac:dyDescent="0.2">
      <c r="A14" s="4">
        <v>13</v>
      </c>
      <c r="B14" s="4" t="s">
        <v>87</v>
      </c>
      <c r="C14" s="4">
        <v>2023</v>
      </c>
      <c r="D14" s="4" t="s">
        <v>88</v>
      </c>
      <c r="E14" s="4" t="s">
        <v>26</v>
      </c>
      <c r="F14" s="4" t="s">
        <v>62</v>
      </c>
      <c r="G14" s="4" t="s">
        <v>28</v>
      </c>
      <c r="H14" s="4">
        <v>10</v>
      </c>
      <c r="I14" s="4" t="s">
        <v>19</v>
      </c>
      <c r="J14" s="4" t="s">
        <v>19</v>
      </c>
      <c r="K14" s="4" t="s">
        <v>89</v>
      </c>
      <c r="L14" s="4" t="s">
        <v>77</v>
      </c>
      <c r="M14" s="4" t="s">
        <v>82</v>
      </c>
      <c r="N14" s="4" t="s">
        <v>90</v>
      </c>
    </row>
    <row r="15" spans="1:14" ht="94.5" customHeight="1" x14ac:dyDescent="0.2">
      <c r="A15" s="4">
        <v>14</v>
      </c>
      <c r="B15" s="4" t="s">
        <v>91</v>
      </c>
      <c r="C15" s="4">
        <v>2023</v>
      </c>
      <c r="D15" s="4" t="s">
        <v>25</v>
      </c>
      <c r="E15" s="4" t="s">
        <v>92</v>
      </c>
      <c r="F15" s="4" t="s">
        <v>93</v>
      </c>
      <c r="G15" s="4" t="s">
        <v>18</v>
      </c>
      <c r="H15" s="4">
        <v>10</v>
      </c>
      <c r="I15" s="4" t="s">
        <v>19</v>
      </c>
      <c r="J15" s="4" t="s">
        <v>19</v>
      </c>
      <c r="K15" s="4" t="s">
        <v>94</v>
      </c>
      <c r="L15" s="4" t="s">
        <v>95</v>
      </c>
      <c r="M15" s="4" t="s">
        <v>82</v>
      </c>
      <c r="N15" s="4" t="s">
        <v>96</v>
      </c>
    </row>
    <row r="16" spans="1:14" ht="94.5" customHeight="1" x14ac:dyDescent="0.2">
      <c r="A16" s="4">
        <v>15</v>
      </c>
      <c r="B16" s="4" t="s">
        <v>97</v>
      </c>
      <c r="C16" s="4">
        <v>2025</v>
      </c>
      <c r="D16" s="4" t="s">
        <v>98</v>
      </c>
      <c r="E16" s="4" t="s">
        <v>50</v>
      </c>
      <c r="F16" s="4" t="s">
        <v>99</v>
      </c>
      <c r="G16" s="4" t="s">
        <v>28</v>
      </c>
      <c r="H16" s="4">
        <v>12</v>
      </c>
      <c r="I16" s="4" t="s">
        <v>20</v>
      </c>
      <c r="J16" s="4" t="s">
        <v>20</v>
      </c>
      <c r="K16" s="4" t="s">
        <v>100</v>
      </c>
      <c r="L16" s="4" t="s">
        <v>77</v>
      </c>
      <c r="M16" s="4" t="s">
        <v>82</v>
      </c>
      <c r="N16" s="4" t="s">
        <v>101</v>
      </c>
    </row>
    <row r="17" spans="1:14" ht="94.5" customHeight="1" x14ac:dyDescent="0.2">
      <c r="A17" s="4">
        <v>16</v>
      </c>
      <c r="B17" s="4" t="s">
        <v>102</v>
      </c>
      <c r="C17" s="4">
        <v>2024</v>
      </c>
      <c r="D17" s="4" t="s">
        <v>103</v>
      </c>
      <c r="E17" s="4" t="s">
        <v>104</v>
      </c>
      <c r="F17" s="4" t="s">
        <v>71</v>
      </c>
      <c r="G17" s="4" t="s">
        <v>28</v>
      </c>
      <c r="H17" s="4">
        <v>13</v>
      </c>
      <c r="I17" s="4" t="s">
        <v>20</v>
      </c>
      <c r="J17" s="4" t="s">
        <v>20</v>
      </c>
      <c r="K17" s="4" t="s">
        <v>105</v>
      </c>
      <c r="L17" s="4" t="s">
        <v>106</v>
      </c>
      <c r="M17" s="4" t="s">
        <v>107</v>
      </c>
      <c r="N17" s="4" t="s">
        <v>108</v>
      </c>
    </row>
    <row r="18" spans="1:14" ht="94.5" customHeight="1" x14ac:dyDescent="0.2">
      <c r="A18" s="4">
        <v>17</v>
      </c>
      <c r="B18" s="4" t="s">
        <v>109</v>
      </c>
      <c r="C18" s="4">
        <v>2025</v>
      </c>
      <c r="D18" s="4" t="s">
        <v>110</v>
      </c>
      <c r="E18" s="4" t="s">
        <v>111</v>
      </c>
      <c r="F18" s="4" t="s">
        <v>112</v>
      </c>
      <c r="G18" s="4" t="s">
        <v>28</v>
      </c>
      <c r="H18" s="4">
        <v>11</v>
      </c>
      <c r="I18" s="4" t="s">
        <v>20</v>
      </c>
      <c r="J18" s="4" t="s">
        <v>20</v>
      </c>
      <c r="K18" s="4" t="s">
        <v>113</v>
      </c>
      <c r="L18" s="4" t="s">
        <v>30</v>
      </c>
      <c r="M18" s="4" t="s">
        <v>107</v>
      </c>
      <c r="N18" s="4" t="s">
        <v>114</v>
      </c>
    </row>
    <row r="19" spans="1:14" ht="94.5" customHeight="1" x14ac:dyDescent="0.2">
      <c r="A19" s="4">
        <v>18</v>
      </c>
      <c r="B19" s="4" t="s">
        <v>115</v>
      </c>
      <c r="C19" s="4">
        <v>2022</v>
      </c>
      <c r="D19" s="4" t="s">
        <v>25</v>
      </c>
      <c r="E19" s="4" t="s">
        <v>116</v>
      </c>
      <c r="F19" s="4" t="s">
        <v>117</v>
      </c>
      <c r="G19" s="4" t="s">
        <v>18</v>
      </c>
      <c r="H19" s="4">
        <v>12</v>
      </c>
      <c r="I19" s="4" t="s">
        <v>20</v>
      </c>
      <c r="J19" s="4" t="s">
        <v>20</v>
      </c>
      <c r="K19" s="4" t="s">
        <v>118</v>
      </c>
      <c r="L19" s="4" t="s">
        <v>22</v>
      </c>
      <c r="M19" s="4" t="s">
        <v>107</v>
      </c>
      <c r="N19" s="4" t="s">
        <v>119</v>
      </c>
    </row>
    <row r="20" spans="1:14" ht="94.5" customHeight="1" x14ac:dyDescent="0.2">
      <c r="A20" s="4">
        <v>19</v>
      </c>
      <c r="B20" s="4" t="s">
        <v>120</v>
      </c>
      <c r="C20" s="4">
        <v>2015</v>
      </c>
      <c r="D20" s="4" t="s">
        <v>25</v>
      </c>
      <c r="E20" s="4" t="s">
        <v>26</v>
      </c>
      <c r="F20" s="4" t="s">
        <v>50</v>
      </c>
      <c r="G20" s="4" t="s">
        <v>18</v>
      </c>
      <c r="H20" s="4">
        <v>9</v>
      </c>
      <c r="I20" s="4" t="s">
        <v>58</v>
      </c>
      <c r="J20" s="4" t="s">
        <v>58</v>
      </c>
      <c r="K20" s="4" t="s">
        <v>121</v>
      </c>
      <c r="L20" s="4" t="s">
        <v>77</v>
      </c>
      <c r="M20" s="4" t="s">
        <v>107</v>
      </c>
      <c r="N20" s="4" t="s">
        <v>122</v>
      </c>
    </row>
    <row r="21" spans="1:14" ht="94.5" customHeight="1" x14ac:dyDescent="0.2">
      <c r="A21" s="4">
        <v>20</v>
      </c>
      <c r="B21" s="4" t="s">
        <v>123</v>
      </c>
      <c r="C21" s="4">
        <v>2022</v>
      </c>
      <c r="D21" s="4" t="s">
        <v>25</v>
      </c>
      <c r="E21" s="4" t="s">
        <v>50</v>
      </c>
      <c r="F21" s="4" t="s">
        <v>34</v>
      </c>
      <c r="G21" s="4" t="s">
        <v>18</v>
      </c>
      <c r="H21" s="4">
        <v>10</v>
      </c>
      <c r="I21" s="4" t="s">
        <v>19</v>
      </c>
      <c r="J21" s="4" t="s">
        <v>19</v>
      </c>
      <c r="K21" s="4" t="s">
        <v>124</v>
      </c>
      <c r="L21" s="4" t="s">
        <v>106</v>
      </c>
      <c r="M21" s="4" t="s">
        <v>107</v>
      </c>
      <c r="N21" s="4" t="s">
        <v>125</v>
      </c>
    </row>
    <row r="22" spans="1:14" ht="94.5" customHeight="1" x14ac:dyDescent="0.2">
      <c r="A22" s="4">
        <v>21</v>
      </c>
      <c r="B22" s="4" t="s">
        <v>126</v>
      </c>
      <c r="C22" s="4">
        <v>2022</v>
      </c>
      <c r="D22" s="4" t="s">
        <v>127</v>
      </c>
      <c r="E22" s="4" t="s">
        <v>57</v>
      </c>
      <c r="F22" s="4" t="s">
        <v>128</v>
      </c>
      <c r="G22" s="4" t="s">
        <v>18</v>
      </c>
      <c r="H22" s="4">
        <v>10</v>
      </c>
      <c r="I22" s="4" t="s">
        <v>19</v>
      </c>
      <c r="J22" s="4" t="s">
        <v>58</v>
      </c>
      <c r="K22" s="4" t="s">
        <v>129</v>
      </c>
      <c r="L22" s="4" t="s">
        <v>22</v>
      </c>
      <c r="M22" s="4" t="s">
        <v>130</v>
      </c>
      <c r="N22" s="4" t="s">
        <v>131</v>
      </c>
    </row>
    <row r="23" spans="1:14" ht="94.5" customHeight="1" x14ac:dyDescent="0.2">
      <c r="A23" s="4">
        <v>22</v>
      </c>
      <c r="B23" s="4" t="s">
        <v>132</v>
      </c>
      <c r="C23" s="4">
        <v>1998</v>
      </c>
      <c r="D23" s="4" t="s">
        <v>133</v>
      </c>
      <c r="E23" s="4" t="s">
        <v>16</v>
      </c>
      <c r="F23" s="4" t="s">
        <v>34</v>
      </c>
      <c r="G23" s="4" t="s">
        <v>18</v>
      </c>
      <c r="H23" s="4">
        <v>11</v>
      </c>
      <c r="I23" s="4" t="s">
        <v>134</v>
      </c>
      <c r="J23" s="4" t="s">
        <v>20</v>
      </c>
      <c r="K23" s="4" t="s">
        <v>135</v>
      </c>
      <c r="L23" s="4" t="s">
        <v>22</v>
      </c>
      <c r="M23" s="4" t="s">
        <v>136</v>
      </c>
      <c r="N23" s="4" t="s">
        <v>137</v>
      </c>
    </row>
    <row r="24" spans="1:14" ht="94.5" customHeight="1" x14ac:dyDescent="0.2">
      <c r="A24" s="4">
        <v>23</v>
      </c>
      <c r="B24" s="4" t="s">
        <v>138</v>
      </c>
      <c r="C24" s="4">
        <v>2005</v>
      </c>
      <c r="D24" s="4" t="s">
        <v>25</v>
      </c>
      <c r="E24" s="4" t="s">
        <v>26</v>
      </c>
      <c r="F24" s="4" t="s">
        <v>62</v>
      </c>
      <c r="G24" s="4" t="s">
        <v>43</v>
      </c>
      <c r="H24" s="4">
        <v>8</v>
      </c>
      <c r="I24" s="4" t="s">
        <v>58</v>
      </c>
      <c r="J24" s="4" t="s">
        <v>58</v>
      </c>
      <c r="K24" s="4" t="s">
        <v>139</v>
      </c>
      <c r="L24" s="4" t="s">
        <v>140</v>
      </c>
      <c r="M24" s="4" t="s">
        <v>136</v>
      </c>
      <c r="N24" s="4" t="s">
        <v>141</v>
      </c>
    </row>
    <row r="25" spans="1:14" ht="94.5" customHeight="1" x14ac:dyDescent="0.2">
      <c r="A25" s="4">
        <v>24</v>
      </c>
      <c r="B25" s="4" t="s">
        <v>142</v>
      </c>
      <c r="C25" s="4">
        <v>2015</v>
      </c>
      <c r="D25" s="4" t="s">
        <v>143</v>
      </c>
      <c r="E25" s="4" t="s">
        <v>26</v>
      </c>
      <c r="F25" s="4" t="s">
        <v>62</v>
      </c>
      <c r="G25" s="4" t="s">
        <v>28</v>
      </c>
      <c r="H25" s="4">
        <v>11</v>
      </c>
      <c r="I25" s="4" t="s">
        <v>20</v>
      </c>
      <c r="J25" s="4" t="s">
        <v>20</v>
      </c>
      <c r="K25" s="4" t="s">
        <v>144</v>
      </c>
      <c r="L25" s="4" t="s">
        <v>53</v>
      </c>
      <c r="M25" s="4" t="s">
        <v>136</v>
      </c>
      <c r="N25" s="4" t="s">
        <v>145</v>
      </c>
    </row>
    <row r="26" spans="1:14" ht="94.5" customHeight="1" x14ac:dyDescent="0.2">
      <c r="A26" s="4">
        <v>25</v>
      </c>
      <c r="B26" s="4" t="s">
        <v>146</v>
      </c>
      <c r="C26" s="4">
        <v>2022</v>
      </c>
      <c r="D26" s="4" t="s">
        <v>25</v>
      </c>
      <c r="E26" s="4" t="s">
        <v>92</v>
      </c>
      <c r="F26" s="4" t="s">
        <v>147</v>
      </c>
      <c r="G26" s="4" t="s">
        <v>18</v>
      </c>
      <c r="H26" s="4">
        <v>9</v>
      </c>
      <c r="I26" s="4" t="s">
        <v>58</v>
      </c>
      <c r="J26" s="4" t="s">
        <v>58</v>
      </c>
      <c r="K26" s="4" t="s">
        <v>148</v>
      </c>
      <c r="L26" s="4" t="s">
        <v>95</v>
      </c>
      <c r="M26" s="4" t="s">
        <v>136</v>
      </c>
      <c r="N26" s="4" t="s">
        <v>149</v>
      </c>
    </row>
    <row r="27" spans="1:14" ht="94.5" customHeight="1" x14ac:dyDescent="0.2">
      <c r="A27" s="4">
        <v>26</v>
      </c>
      <c r="B27" s="4" t="s">
        <v>150</v>
      </c>
      <c r="C27" s="4">
        <v>2021</v>
      </c>
      <c r="D27" s="4" t="s">
        <v>151</v>
      </c>
      <c r="E27" s="4" t="s">
        <v>26</v>
      </c>
      <c r="F27" s="4" t="s">
        <v>62</v>
      </c>
      <c r="G27" s="4" t="s">
        <v>18</v>
      </c>
      <c r="H27" s="4">
        <v>8</v>
      </c>
      <c r="I27" s="4" t="s">
        <v>58</v>
      </c>
      <c r="J27" s="4" t="s">
        <v>58</v>
      </c>
      <c r="K27" s="4" t="s">
        <v>152</v>
      </c>
      <c r="L27" s="4" t="s">
        <v>77</v>
      </c>
      <c r="M27" s="4" t="s">
        <v>136</v>
      </c>
      <c r="N27" s="4" t="s">
        <v>153</v>
      </c>
    </row>
    <row r="28" spans="1:14" ht="94.5" customHeight="1" x14ac:dyDescent="0.2">
      <c r="A28" s="4">
        <v>27</v>
      </c>
      <c r="B28" s="4" t="s">
        <v>154</v>
      </c>
      <c r="C28" s="4">
        <v>2007</v>
      </c>
      <c r="D28" s="4" t="s">
        <v>110</v>
      </c>
      <c r="E28" s="4" t="s">
        <v>16</v>
      </c>
      <c r="F28" s="4" t="s">
        <v>17</v>
      </c>
      <c r="G28" s="4" t="s">
        <v>18</v>
      </c>
      <c r="H28" s="4">
        <v>10</v>
      </c>
      <c r="I28" s="4" t="s">
        <v>19</v>
      </c>
      <c r="J28" s="4" t="s">
        <v>20</v>
      </c>
      <c r="K28" s="4" t="s">
        <v>155</v>
      </c>
      <c r="L28" s="4" t="s">
        <v>22</v>
      </c>
      <c r="M28" s="4" t="s">
        <v>156</v>
      </c>
      <c r="N28" s="4" t="s">
        <v>157</v>
      </c>
    </row>
    <row r="29" spans="1:14" ht="94.5" customHeight="1" x14ac:dyDescent="0.2">
      <c r="A29" s="4">
        <v>28</v>
      </c>
      <c r="B29" s="4" t="s">
        <v>158</v>
      </c>
      <c r="C29" s="4">
        <v>2015</v>
      </c>
      <c r="D29" s="4" t="s">
        <v>25</v>
      </c>
      <c r="E29" s="4" t="s">
        <v>26</v>
      </c>
      <c r="F29" s="4" t="s">
        <v>128</v>
      </c>
      <c r="G29" s="4" t="s">
        <v>28</v>
      </c>
      <c r="H29" s="4">
        <v>11</v>
      </c>
      <c r="I29" s="4" t="s">
        <v>20</v>
      </c>
      <c r="J29" s="4" t="s">
        <v>20</v>
      </c>
      <c r="K29" s="4" t="s">
        <v>159</v>
      </c>
      <c r="L29" s="4" t="s">
        <v>53</v>
      </c>
      <c r="M29" s="4" t="s">
        <v>156</v>
      </c>
      <c r="N29" s="4" t="s">
        <v>160</v>
      </c>
    </row>
    <row r="30" spans="1:14" ht="94.5" customHeight="1" x14ac:dyDescent="0.2">
      <c r="A30" s="4">
        <v>29</v>
      </c>
      <c r="B30" s="4" t="s">
        <v>161</v>
      </c>
      <c r="C30" s="4">
        <v>2020</v>
      </c>
      <c r="D30" s="4" t="s">
        <v>162</v>
      </c>
      <c r="E30" s="4" t="s">
        <v>34</v>
      </c>
      <c r="F30" s="4" t="s">
        <v>117</v>
      </c>
      <c r="G30" s="4" t="s">
        <v>18</v>
      </c>
      <c r="H30" s="4">
        <v>9</v>
      </c>
      <c r="I30" s="4" t="s">
        <v>58</v>
      </c>
      <c r="J30" s="4" t="s">
        <v>58</v>
      </c>
      <c r="K30" s="4" t="s">
        <v>163</v>
      </c>
      <c r="L30" s="4" t="s">
        <v>22</v>
      </c>
      <c r="M30" s="4" t="s">
        <v>156</v>
      </c>
      <c r="N30" s="4" t="s">
        <v>164</v>
      </c>
    </row>
    <row r="31" spans="1:14" ht="94.5" customHeight="1" x14ac:dyDescent="0.2">
      <c r="A31" s="4">
        <v>30</v>
      </c>
      <c r="B31" s="4" t="s">
        <v>165</v>
      </c>
      <c r="C31" s="4">
        <v>2023</v>
      </c>
      <c r="D31" s="4" t="s">
        <v>166</v>
      </c>
      <c r="E31" s="4" t="s">
        <v>26</v>
      </c>
      <c r="F31" s="4" t="s">
        <v>50</v>
      </c>
      <c r="G31" s="4" t="s">
        <v>18</v>
      </c>
      <c r="H31" s="4">
        <v>8</v>
      </c>
      <c r="I31" s="4" t="s">
        <v>58</v>
      </c>
      <c r="J31" s="4" t="s">
        <v>58</v>
      </c>
      <c r="K31" s="4" t="s">
        <v>167</v>
      </c>
      <c r="L31" s="4" t="s">
        <v>77</v>
      </c>
      <c r="M31" s="4" t="s">
        <v>156</v>
      </c>
      <c r="N31" s="4" t="s">
        <v>168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zoomScaleNormal="100" workbookViewId="0">
      <selection sqref="A1:D1"/>
    </sheetView>
  </sheetViews>
  <sheetFormatPr baseColWidth="10" defaultColWidth="8.6640625" defaultRowHeight="15" x14ac:dyDescent="0.2"/>
  <cols>
    <col min="1" max="1" width="42" customWidth="1"/>
    <col min="2" max="2" width="18" customWidth="1"/>
    <col min="3" max="3" width="20" customWidth="1"/>
    <col min="4" max="4" width="56" customWidth="1"/>
  </cols>
  <sheetData>
    <row r="1" spans="1:4" ht="17" x14ac:dyDescent="0.2">
      <c r="A1" s="2" t="s">
        <v>169</v>
      </c>
      <c r="B1" s="2"/>
      <c r="C1" s="2"/>
      <c r="D1" s="2"/>
    </row>
    <row r="3" spans="1:4" ht="16" x14ac:dyDescent="0.2">
      <c r="A3" s="5" t="s">
        <v>170</v>
      </c>
      <c r="B3" s="5" t="s">
        <v>171</v>
      </c>
      <c r="C3" s="5" t="s">
        <v>172</v>
      </c>
      <c r="D3" s="5" t="s">
        <v>173</v>
      </c>
    </row>
    <row r="4" spans="1:4" x14ac:dyDescent="0.2">
      <c r="A4" s="4" t="s">
        <v>16</v>
      </c>
      <c r="B4" s="4">
        <v>4</v>
      </c>
      <c r="C4" s="4">
        <v>3</v>
      </c>
      <c r="D4" s="4" t="s">
        <v>174</v>
      </c>
    </row>
    <row r="5" spans="1:4" x14ac:dyDescent="0.2">
      <c r="A5" s="4" t="s">
        <v>175</v>
      </c>
      <c r="B5" s="4">
        <v>3</v>
      </c>
      <c r="C5" s="4">
        <v>4</v>
      </c>
      <c r="D5" s="4" t="s">
        <v>176</v>
      </c>
    </row>
    <row r="6" spans="1:4" x14ac:dyDescent="0.2">
      <c r="A6" s="4" t="s">
        <v>177</v>
      </c>
      <c r="B6" s="4">
        <v>11</v>
      </c>
      <c r="C6" s="4">
        <v>3</v>
      </c>
      <c r="D6" s="4" t="s">
        <v>178</v>
      </c>
    </row>
    <row r="7" spans="1:4" x14ac:dyDescent="0.2">
      <c r="A7" s="4" t="s">
        <v>179</v>
      </c>
      <c r="B7" s="4">
        <v>4</v>
      </c>
      <c r="C7" s="4">
        <v>6</v>
      </c>
      <c r="D7" s="4" t="s">
        <v>180</v>
      </c>
    </row>
    <row r="8" spans="1:4" x14ac:dyDescent="0.2">
      <c r="A8" s="4" t="s">
        <v>181</v>
      </c>
      <c r="B8" s="4">
        <v>3</v>
      </c>
      <c r="C8" s="4">
        <v>3</v>
      </c>
      <c r="D8" s="4" t="s">
        <v>182</v>
      </c>
    </row>
    <row r="9" spans="1:4" x14ac:dyDescent="0.2">
      <c r="A9" s="4" t="s">
        <v>183</v>
      </c>
      <c r="B9" s="4">
        <v>1</v>
      </c>
      <c r="C9" s="4">
        <v>0</v>
      </c>
      <c r="D9" s="4" t="s">
        <v>184</v>
      </c>
    </row>
    <row r="10" spans="1:4" x14ac:dyDescent="0.2">
      <c r="A10" s="6" t="s">
        <v>185</v>
      </c>
      <c r="B10" s="6">
        <f>SUM(B4:B9)</f>
        <v>26</v>
      </c>
      <c r="C10" s="6">
        <f>SUM(C4:C9)</f>
        <v>19</v>
      </c>
    </row>
    <row r="12" spans="1:4" x14ac:dyDescent="0.2">
      <c r="A12" s="1" t="s">
        <v>186</v>
      </c>
      <c r="B12" s="1"/>
      <c r="C12" s="1"/>
      <c r="D12" s="1"/>
    </row>
  </sheetData>
  <mergeCells count="2">
    <mergeCell ref="A1:D1"/>
    <mergeCell ref="A12:D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zoomScaleNormal="100" workbookViewId="0">
      <selection sqref="A1:C1"/>
    </sheetView>
  </sheetViews>
  <sheetFormatPr baseColWidth="10" defaultColWidth="8.6640625" defaultRowHeight="15" x14ac:dyDescent="0.2"/>
  <cols>
    <col min="1" max="2" width="10" customWidth="1"/>
    <col min="3" max="3" width="90" customWidth="1"/>
  </cols>
  <sheetData>
    <row r="1" spans="1:3" ht="17" x14ac:dyDescent="0.2">
      <c r="A1" s="2" t="s">
        <v>187</v>
      </c>
      <c r="B1" s="2"/>
      <c r="C1" s="2"/>
    </row>
    <row r="3" spans="1:3" ht="16" x14ac:dyDescent="0.2">
      <c r="A3" s="5" t="s">
        <v>188</v>
      </c>
      <c r="B3" s="5" t="s">
        <v>189</v>
      </c>
      <c r="C3" s="5" t="s">
        <v>190</v>
      </c>
    </row>
    <row r="4" spans="1:3" ht="54.75" customHeight="1" x14ac:dyDescent="0.2">
      <c r="A4" s="7" t="s">
        <v>43</v>
      </c>
      <c r="B4" s="4">
        <v>3</v>
      </c>
      <c r="C4" s="4" t="s">
        <v>191</v>
      </c>
    </row>
    <row r="5" spans="1:3" ht="54.75" customHeight="1" x14ac:dyDescent="0.2">
      <c r="A5" s="7" t="s">
        <v>18</v>
      </c>
      <c r="B5" s="4">
        <v>13</v>
      </c>
      <c r="C5" s="4" t="s">
        <v>192</v>
      </c>
    </row>
    <row r="6" spans="1:3" ht="54.75" customHeight="1" x14ac:dyDescent="0.2">
      <c r="A6" s="7" t="s">
        <v>28</v>
      </c>
      <c r="B6" s="4">
        <v>13</v>
      </c>
      <c r="C6" s="4" t="s">
        <v>193</v>
      </c>
    </row>
    <row r="7" spans="1:3" ht="54.75" customHeight="1" x14ac:dyDescent="0.2">
      <c r="A7" s="7" t="s">
        <v>82</v>
      </c>
      <c r="B7" s="4">
        <v>0</v>
      </c>
      <c r="C7" s="4" t="s">
        <v>194</v>
      </c>
    </row>
    <row r="8" spans="1:3" x14ac:dyDescent="0.2">
      <c r="A8" s="6" t="s">
        <v>195</v>
      </c>
      <c r="B8" s="6">
        <f>SUM(B4:B7)</f>
        <v>29</v>
      </c>
    </row>
  </sheetData>
  <mergeCells count="1">
    <mergeCell ref="A1:C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zoomScaleNormal="100" workbookViewId="0">
      <selection sqref="A1:C1"/>
    </sheetView>
  </sheetViews>
  <sheetFormatPr baseColWidth="10" defaultColWidth="8.6640625" defaultRowHeight="15" x14ac:dyDescent="0.2"/>
  <cols>
    <col min="1" max="1" width="38" customWidth="1"/>
    <col min="2" max="2" width="40" customWidth="1"/>
    <col min="3" max="3" width="60" customWidth="1"/>
  </cols>
  <sheetData>
    <row r="1" spans="1:3" ht="17" x14ac:dyDescent="0.2">
      <c r="A1" s="2" t="s">
        <v>196</v>
      </c>
      <c r="B1" s="2"/>
      <c r="C1" s="2"/>
    </row>
    <row r="3" spans="1:3" x14ac:dyDescent="0.2">
      <c r="A3" s="8" t="s">
        <v>197</v>
      </c>
      <c r="B3" s="8" t="s">
        <v>198</v>
      </c>
      <c r="C3" s="8" t="s">
        <v>173</v>
      </c>
    </row>
    <row r="4" spans="1:3" ht="37.5" customHeight="1" x14ac:dyDescent="0.2">
      <c r="A4" s="4" t="s">
        <v>199</v>
      </c>
      <c r="B4" s="4">
        <v>30</v>
      </c>
      <c r="C4" s="4" t="s">
        <v>200</v>
      </c>
    </row>
    <row r="5" spans="1:3" ht="37.5" customHeight="1" x14ac:dyDescent="0.2">
      <c r="A5" s="4" t="s">
        <v>201</v>
      </c>
      <c r="B5" s="4" t="s">
        <v>202</v>
      </c>
      <c r="C5" s="4" t="s">
        <v>203</v>
      </c>
    </row>
    <row r="6" spans="1:3" ht="37.5" customHeight="1" x14ac:dyDescent="0.2">
      <c r="A6" s="4" t="s">
        <v>204</v>
      </c>
      <c r="B6" s="4" t="s">
        <v>205</v>
      </c>
      <c r="C6" s="4" t="s">
        <v>206</v>
      </c>
    </row>
    <row r="7" spans="1:3" ht="37.5" customHeight="1" x14ac:dyDescent="0.2">
      <c r="A7" s="4" t="s">
        <v>207</v>
      </c>
      <c r="B7" s="4">
        <v>29</v>
      </c>
      <c r="C7" s="4" t="s">
        <v>208</v>
      </c>
    </row>
    <row r="8" spans="1:3" ht="37.5" customHeight="1" x14ac:dyDescent="0.2">
      <c r="A8" s="4" t="s">
        <v>209</v>
      </c>
      <c r="B8" s="4">
        <v>1</v>
      </c>
      <c r="C8" s="4" t="s">
        <v>210</v>
      </c>
    </row>
    <row r="9" spans="1:3" ht="37.5" customHeight="1" x14ac:dyDescent="0.2">
      <c r="A9" s="4" t="s">
        <v>211</v>
      </c>
      <c r="B9" s="4">
        <v>10.1</v>
      </c>
      <c r="C9" s="4" t="s">
        <v>212</v>
      </c>
    </row>
    <row r="10" spans="1:3" ht="37.5" customHeight="1" x14ac:dyDescent="0.2">
      <c r="A10" s="4" t="s">
        <v>213</v>
      </c>
      <c r="B10" s="4">
        <v>10</v>
      </c>
      <c r="C10" s="4" t="s">
        <v>214</v>
      </c>
    </row>
    <row r="11" spans="1:3" ht="37.5" customHeight="1" x14ac:dyDescent="0.2">
      <c r="A11" s="4" t="s">
        <v>215</v>
      </c>
      <c r="B11" s="4">
        <v>6</v>
      </c>
      <c r="C11" s="4" t="s">
        <v>216</v>
      </c>
    </row>
    <row r="12" spans="1:3" ht="37.5" customHeight="1" x14ac:dyDescent="0.2">
      <c r="A12" s="4" t="s">
        <v>217</v>
      </c>
      <c r="B12" s="4">
        <v>14</v>
      </c>
      <c r="C12" s="4" t="s">
        <v>218</v>
      </c>
    </row>
    <row r="13" spans="1:3" ht="37.5" customHeight="1" x14ac:dyDescent="0.2">
      <c r="A13" s="4" t="s">
        <v>219</v>
      </c>
      <c r="B13" s="4">
        <v>169</v>
      </c>
      <c r="C13" s="4" t="s">
        <v>220</v>
      </c>
    </row>
    <row r="14" spans="1:3" ht="37.5" customHeight="1" x14ac:dyDescent="0.2">
      <c r="A14" s="4" t="s">
        <v>221</v>
      </c>
      <c r="B14" s="4" t="s">
        <v>222</v>
      </c>
      <c r="C14" s="4" t="s">
        <v>223</v>
      </c>
    </row>
  </sheetData>
  <mergeCells count="1">
    <mergeCell ref="A1:C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7"/>
  <sheetViews>
    <sheetView tabSelected="1" zoomScaleNormal="100" workbookViewId="0"/>
  </sheetViews>
  <sheetFormatPr baseColWidth="10" defaultColWidth="8.6640625" defaultRowHeight="15" x14ac:dyDescent="0.2"/>
  <cols>
    <col min="1" max="1" width="110" customWidth="1"/>
  </cols>
  <sheetData>
    <row r="1" spans="1:1" ht="39.75" customHeight="1" x14ac:dyDescent="0.2">
      <c r="A1" s="9" t="s">
        <v>224</v>
      </c>
    </row>
    <row r="2" spans="1:1" ht="12" customHeight="1" x14ac:dyDescent="0.2">
      <c r="A2" s="10"/>
    </row>
    <row r="3" spans="1:1" ht="39.75" customHeight="1" x14ac:dyDescent="0.2">
      <c r="A3" s="10" t="s">
        <v>225</v>
      </c>
    </row>
    <row r="4" spans="1:1" ht="12" customHeight="1" x14ac:dyDescent="0.2">
      <c r="A4" s="10"/>
    </row>
    <row r="5" spans="1:1" ht="39.75" customHeight="1" x14ac:dyDescent="0.2">
      <c r="A5" s="9" t="s">
        <v>226</v>
      </c>
    </row>
    <row r="6" spans="1:1" ht="39.75" customHeight="1" x14ac:dyDescent="0.2">
      <c r="A6" s="10" t="s">
        <v>227</v>
      </c>
    </row>
    <row r="7" spans="1:1" ht="39.75" customHeight="1" x14ac:dyDescent="0.2">
      <c r="A7" s="10" t="s">
        <v>228</v>
      </c>
    </row>
    <row r="8" spans="1:1" ht="39.75" customHeight="1" x14ac:dyDescent="0.2">
      <c r="A8" s="10" t="s">
        <v>229</v>
      </c>
    </row>
    <row r="9" spans="1:1" ht="39.75" customHeight="1" x14ac:dyDescent="0.2">
      <c r="A9" s="10" t="s">
        <v>230</v>
      </c>
    </row>
    <row r="10" spans="1:1" ht="12" customHeight="1" x14ac:dyDescent="0.2">
      <c r="A10" s="10"/>
    </row>
    <row r="11" spans="1:1" ht="39.75" customHeight="1" x14ac:dyDescent="0.2">
      <c r="A11" s="9" t="s">
        <v>231</v>
      </c>
    </row>
    <row r="12" spans="1:1" ht="39.75" customHeight="1" x14ac:dyDescent="0.2">
      <c r="A12" s="10" t="s">
        <v>232</v>
      </c>
    </row>
    <row r="13" spans="1:1" ht="12" customHeight="1" x14ac:dyDescent="0.2">
      <c r="A13" s="10"/>
    </row>
    <row r="14" spans="1:1" ht="39.75" customHeight="1" x14ac:dyDescent="0.2">
      <c r="A14" s="9" t="s">
        <v>233</v>
      </c>
    </row>
    <row r="15" spans="1:1" ht="39.75" customHeight="1" x14ac:dyDescent="0.2">
      <c r="A15" s="10" t="s">
        <v>234</v>
      </c>
    </row>
    <row r="16" spans="1:1" ht="12" customHeight="1" x14ac:dyDescent="0.2">
      <c r="A16" s="10"/>
    </row>
    <row r="17" spans="1:1" ht="39.75" customHeight="1" x14ac:dyDescent="0.2">
      <c r="A17" s="10" t="s">
        <v>235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Master Consolidation</vt:lpstr>
      <vt:lpstr>Pillar Distribution</vt:lpstr>
      <vt:lpstr>SPMF Level Distribution</vt:lpstr>
      <vt:lpstr>QA 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Rodrigo Oliveira</cp:lastModifiedBy>
  <cp:revision>0</cp:revision>
  <dcterms:created xsi:type="dcterms:W3CDTF">2026-04-20T15:01:23Z</dcterms:created>
  <dcterms:modified xsi:type="dcterms:W3CDTF">2026-04-20T22:32:46Z</dcterms:modified>
  <dc:language>en-US</dc:language>
</cp:coreProperties>
</file>